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Diagram WBS" sheetId="3" state="visible" r:id="rId3"/>
    <sheet xmlns:r="http://schemas.openxmlformats.org/officeDocument/2006/relationships" name="Milest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-YYYY"/>
    <numFmt numFmtId="166" formatCode="DD/MM"/>
    <numFmt numFmtId="167" formatCode="0.##"/>
    <numFmt numFmtId="168" formatCode="0.0"/>
  </numFmts>
  <fonts count="1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C00000"/>
    </font>
    <font>
      <b val="1"/>
      <color rgb="000000FF"/>
    </font>
    <font>
      <b val="1"/>
      <color rgb="00FFFFFF"/>
    </font>
    <font>
      <color rgb="00595959"/>
      <sz val="8"/>
    </font>
    <font>
      <b val="1"/>
      <color rgb="00FFFFFF"/>
      <sz val="9"/>
    </font>
    <font>
      <b val="1"/>
      <color rgb="00000000"/>
      <sz val="9"/>
    </font>
    <font>
      <sz val="10"/>
    </font>
    <font>
      <b val="1"/>
      <sz val="10"/>
    </font>
    <font>
      <i val="1"/>
      <color rgb="00595959"/>
      <sz val="9"/>
    </font>
    <font>
      <i val="1"/>
      <color rgb="00C00000"/>
      <sz val="9"/>
    </font>
    <font>
      <b val="1"/>
    </font>
    <font>
      <b val="1"/>
      <color rgb="007F7F7F"/>
    </font>
    <font>
      <b val="1"/>
      <color rgb="00FFFFFF"/>
      <sz val="11"/>
    </font>
    <font>
      <color rgb="00595959"/>
      <sz val="9"/>
    </font>
    <font>
      <name val="Consolas"/>
      <color rgb="00808080"/>
      <sz val="11"/>
    </font>
    <font>
      <b val="1"/>
      <color rgb="001F3864"/>
      <sz val="12"/>
    </font>
  </fonts>
  <fills count="2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7F7F7F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BF9000"/>
      </patternFill>
    </fill>
    <fill>
      <patternFill patternType="solid">
        <fgColor rgb="0000808A"/>
      </patternFill>
    </fill>
    <fill>
      <patternFill patternType="solid">
        <fgColor rgb="00A6A6A6"/>
      </patternFill>
    </fill>
    <fill>
      <patternFill patternType="solid">
        <fgColor rgb="00FFC0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5E0B3"/>
      </patternFill>
    </fill>
    <fill>
      <patternFill patternType="solid">
        <fgColor rgb="00D9C3E8"/>
      </patternFill>
    </fill>
    <fill>
      <patternFill patternType="solid">
        <fgColor rgb="00F4B6B6"/>
      </patternFill>
    </fill>
    <fill>
      <patternFill patternType="solid">
        <fgColor rgb="00FFE699"/>
      </patternFill>
    </fill>
    <fill>
      <patternFill patternType="solid">
        <fgColor rgb="00B2DFDB"/>
      </patternFill>
    </fill>
    <fill>
      <patternFill patternType="solid">
        <fgColor rgb="00DDEBF7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ED7D31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0AD47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030A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BF9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808A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</border>
    <border>
      <left style="medium">
        <color rgb="002E75B6"/>
      </left>
      <right style="medium">
        <color rgb="002E75B6"/>
      </right>
    </border>
    <border>
      <left style="medium">
        <color rgb="002E75B6"/>
      </left>
      <right style="medium">
        <color rgb="002E75B6"/>
      </right>
      <bottom style="medium">
        <color rgb="002E75B6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3" fillId="0" borderId="0" pivotButton="0" quotePrefix="0" xfId="0"/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7" fillId="14" borderId="0" applyAlignment="1" pivotButton="0" quotePrefix="0" xfId="0">
      <alignment horizontal="center"/>
    </xf>
    <xf numFmtId="0" fontId="8" fillId="15" borderId="0" applyAlignment="1" pivotButton="0" quotePrefix="0" xfId="0">
      <alignment horizontal="center"/>
    </xf>
    <xf numFmtId="0" fontId="14" fillId="0" borderId="0" pivotButton="0" quotePrefix="0" xfId="0"/>
    <xf numFmtId="0" fontId="5" fillId="3" borderId="1" applyAlignment="1" pivotButton="0" quotePrefix="0" xfId="0">
      <alignment horizontal="center"/>
    </xf>
    <xf numFmtId="0" fontId="0" fillId="16" borderId="1" applyAlignment="1" pivotButton="0" quotePrefix="0" xfId="0">
      <alignment horizontal="left"/>
    </xf>
    <xf numFmtId="167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17" borderId="1" applyAlignment="1" pivotButton="0" quotePrefix="0" xfId="0">
      <alignment horizontal="left"/>
    </xf>
    <xf numFmtId="0" fontId="0" fillId="18" borderId="1" applyAlignment="1" pivotButton="0" quotePrefix="0" xfId="0">
      <alignment horizontal="left"/>
    </xf>
    <xf numFmtId="0" fontId="0" fillId="19" borderId="1" applyAlignment="1" pivotButton="0" quotePrefix="0" xfId="0">
      <alignment horizontal="left"/>
    </xf>
    <xf numFmtId="0" fontId="0" fillId="20" borderId="1" applyAlignment="1" pivotButton="0" quotePrefix="0" xfId="0">
      <alignment horizontal="left"/>
    </xf>
    <xf numFmtId="0" fontId="0" fillId="21" borderId="1" applyAlignment="1" pivotButton="0" quotePrefix="0" xfId="0">
      <alignment horizontal="left"/>
    </xf>
    <xf numFmtId="0" fontId="0" fillId="22" borderId="1" applyAlignment="1" pivotButton="0" quotePrefix="0" xfId="0">
      <alignment horizontal="left"/>
    </xf>
    <xf numFmtId="0" fontId="0" fillId="23" borderId="1" applyAlignment="1" pivotButton="0" quotePrefix="0" xfId="0">
      <alignment horizontal="left"/>
    </xf>
    <xf numFmtId="0" fontId="0" fillId="14" borderId="1" applyAlignment="1" pivotButton="0" quotePrefix="0" xfId="0">
      <alignment horizontal="left"/>
    </xf>
    <xf numFmtId="0" fontId="0" fillId="15" borderId="1" applyAlignment="1" pivotButton="0" quotePrefix="0" xfId="0">
      <alignment horizontal="left"/>
    </xf>
    <xf numFmtId="165" fontId="4" fillId="2" borderId="0" pivotButton="0" quotePrefix="0" xfId="0"/>
    <xf numFmtId="166" fontId="6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/>
    </xf>
    <xf numFmtId="165" fontId="10" fillId="5" borderId="1" applyAlignment="1" pivotButton="0" quotePrefix="0" xfId="0">
      <alignment horizontal="center" vertical="center"/>
    </xf>
    <xf numFmtId="9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8" fillId="24" borderId="1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right" vertical="center"/>
    </xf>
    <xf numFmtId="0" fontId="9" fillId="0" borderId="2" applyAlignment="1" pivotButton="0" quotePrefix="0" xfId="0">
      <alignment vertical="center" indent="1"/>
    </xf>
    <xf numFmtId="0" fontId="16" fillId="0" borderId="0" applyAlignment="1" pivotButton="0" quotePrefix="0" xfId="0">
      <alignment horizontal="center" vertical="center"/>
    </xf>
    <xf numFmtId="0" fontId="0" fillId="24" borderId="11" pivotButton="0" quotePrefix="0" xfId="0"/>
    <xf numFmtId="0" fontId="0" fillId="6" borderId="0" pivotButton="0" quotePrefix="0" xfId="0"/>
    <xf numFmtId="0" fontId="15" fillId="7" borderId="0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vertical="center" indent="1"/>
    </xf>
    <xf numFmtId="0" fontId="0" fillId="7" borderId="0" pivotButton="0" quotePrefix="0" xfId="0"/>
    <xf numFmtId="0" fontId="15" fillId="8" borderId="0" applyAlignment="1" pivotButton="0" quotePrefix="0" xfId="0">
      <alignment horizontal="left" vertical="center" wrapText="1" indent="1"/>
    </xf>
    <xf numFmtId="0" fontId="9" fillId="0" borderId="4" applyAlignment="1" pivotButton="0" quotePrefix="0" xfId="0">
      <alignment vertical="center" indent="1"/>
    </xf>
    <xf numFmtId="0" fontId="0" fillId="8" borderId="0" pivotButton="0" quotePrefix="0" xfId="0"/>
    <xf numFmtId="0" fontId="15" fillId="9" borderId="0" applyAlignment="1" pivotButton="0" quotePrefix="0" xfId="0">
      <alignment horizontal="left" vertical="center" wrapText="1" indent="1"/>
    </xf>
    <xf numFmtId="0" fontId="9" fillId="0" borderId="5" applyAlignment="1" pivotButton="0" quotePrefix="0" xfId="0">
      <alignment vertical="center" indent="1"/>
    </xf>
    <xf numFmtId="0" fontId="0" fillId="9" borderId="0" pivotButton="0" quotePrefix="0" xfId="0"/>
    <xf numFmtId="0" fontId="15" fillId="10" borderId="0" applyAlignment="1" pivotButton="0" quotePrefix="0" xfId="0">
      <alignment horizontal="left" vertical="center" wrapText="1" indent="1"/>
    </xf>
    <xf numFmtId="0" fontId="9" fillId="0" borderId="6" applyAlignment="1" pivotButton="0" quotePrefix="0" xfId="0">
      <alignment vertical="center" indent="1"/>
    </xf>
    <xf numFmtId="0" fontId="0" fillId="10" borderId="0" pivotButton="0" quotePrefix="0" xfId="0"/>
    <xf numFmtId="0" fontId="15" fillId="11" borderId="0" applyAlignment="1" pivotButton="0" quotePrefix="0" xfId="0">
      <alignment horizontal="left" vertical="center" wrapText="1" indent="1"/>
    </xf>
    <xf numFmtId="0" fontId="9" fillId="0" borderId="7" applyAlignment="1" pivotButton="0" quotePrefix="0" xfId="0">
      <alignment vertical="center" indent="1"/>
    </xf>
    <xf numFmtId="0" fontId="0" fillId="11" borderId="0" pivotButton="0" quotePrefix="0" xfId="0"/>
    <xf numFmtId="0" fontId="15" fillId="12" borderId="0" applyAlignment="1" pivotButton="0" quotePrefix="0" xfId="0">
      <alignment horizontal="left" vertical="center" wrapText="1" indent="1"/>
    </xf>
    <xf numFmtId="0" fontId="9" fillId="0" borderId="8" applyAlignment="1" pivotButton="0" quotePrefix="0" xfId="0">
      <alignment vertical="center" indent="1"/>
    </xf>
    <xf numFmtId="0" fontId="0" fillId="12" borderId="0" pivotButton="0" quotePrefix="0" xfId="0"/>
    <xf numFmtId="0" fontId="15" fillId="13" borderId="0" applyAlignment="1" pivotButton="0" quotePrefix="0" xfId="0">
      <alignment horizontal="left" vertical="center" wrapText="1" indent="1"/>
    </xf>
    <xf numFmtId="0" fontId="9" fillId="0" borderId="9" applyAlignment="1" pivotButton="0" quotePrefix="0" xfId="0">
      <alignment vertical="center" indent="1"/>
    </xf>
    <xf numFmtId="0" fontId="0" fillId="13" borderId="0" pivotButton="0" quotePrefix="0" xfId="0"/>
    <xf numFmtId="0" fontId="0" fillId="24" borderId="12" pivotButton="0" quotePrefix="0" xfId="0"/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13">
    <dxf>
      <fill>
        <patternFill patternType="solid">
          <fgColor rgb="001F3864"/>
          <bgColor rgb="001F3864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C00000"/>
          <bgColor rgb="00C00000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2E75B6"/>
          <bgColor rgb="002E75B6"/>
        </patternFill>
      </fill>
    </dxf>
    <dxf>
      <fill>
        <patternFill patternType="solid">
          <fgColor rgb="009DC3E6"/>
          <bgColor rgb="009DC3E6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1F4E78"/>
      </font>
      <fill>
        <patternFill patternType="solid">
          <fgColor rgb="00DDEBF7"/>
          <bgColor rgb="00DDEBF7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843C0C"/>
      </font>
      <fill>
        <patternFill patternType="solid">
          <fgColor rgb="00FCE4D6"/>
          <bgColor rgb="00FCE4D6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bar"/>
        <grouping val="stacked"/>
        <ser>
          <idx val="0"/>
          <order val="0"/>
          <tx>
            <strRef>
              <f>'Gantt'!B36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'Gantt'!$A$37:$A$55</f>
            </numRef>
          </cat>
          <val>
            <numRef>
              <f>'Gantt'!$B$37:$B$55</f>
            </numRef>
          </val>
        </ser>
        <ser>
          <idx val="1"/>
          <order val="1"/>
          <tx>
            <strRef>
              <f>'Gantt'!C36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7F7F7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F9000"/>
              </a:solidFill>
              <a:ln xmlns:a="http://schemas.openxmlformats.org/drawingml/2006/main">
                <a:solidFill>
                  <a:srgbClr val="BF9000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00808A"/>
              </a:solidFill>
              <a:ln xmlns:a="http://schemas.openxmlformats.org/drawingml/2006/main">
                <a:solidFill>
                  <a:srgbClr val="00808A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solidFill>
                  <a:srgbClr val="A6A6A6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solidFill>
                  <a:srgbClr val="A6A6A6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cat>
            <numRef>
              <f>'Gantt'!$A$37:$A$55</f>
            </numRef>
          </cat>
          <val>
            <numRef>
              <f>'Gantt'!$C$37:$C$55</f>
            </numRef>
          </val>
        </ser>
        <ser>
          <idx val="2"/>
          <order val="2"/>
          <tx>
            <strRef>
              <f>'Gantt'!D36</f>
            </strRef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D9D9D9"/>
              </a:solidFill>
              <a:ln xmlns:a="http://schemas.openxmlformats.org/drawingml/2006/main">
                <a:solidFill>
                  <a:srgbClr val="D9D9D9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DD7EE"/>
              </a:solidFill>
              <a:ln xmlns:a="http://schemas.openxmlformats.org/drawingml/2006/main">
                <a:solidFill>
                  <a:srgbClr val="BDD7EE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8CBAD"/>
              </a:solidFill>
              <a:ln xmlns:a="http://schemas.openxmlformats.org/drawingml/2006/main">
                <a:solidFill>
                  <a:srgbClr val="F8CBAD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5E0B3"/>
              </a:solidFill>
              <a:ln xmlns:a="http://schemas.openxmlformats.org/drawingml/2006/main">
                <a:solidFill>
                  <a:srgbClr val="C5E0B3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C3E8"/>
              </a:solidFill>
              <a:ln xmlns:a="http://schemas.openxmlformats.org/drawingml/2006/main">
                <a:solidFill>
                  <a:srgbClr val="D9C3E8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4B6B6"/>
              </a:solidFill>
              <a:ln xmlns:a="http://schemas.openxmlformats.org/drawingml/2006/main">
                <a:solidFill>
                  <a:srgbClr val="F4B6B6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FE699"/>
              </a:solidFill>
              <a:ln xmlns:a="http://schemas.openxmlformats.org/drawingml/2006/main">
                <a:solidFill>
                  <a:srgbClr val="FFE699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2DFDB"/>
              </a:solidFill>
              <a:ln xmlns:a="http://schemas.openxmlformats.org/drawingml/2006/main">
                <a:solidFill>
                  <a:srgbClr val="B2DFDB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solidFill>
                  <a:srgbClr val="A6A6A6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solidFill>
                  <a:srgbClr val="A6A6A6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cat>
            <numRef>
              <f>'Gantt'!$A$37:$A$55</f>
            </numRef>
          </cat>
          <val>
            <numRef>
              <f>'Gantt'!$D$37:$D$55</f>
            </numRef>
          </val>
        </ser>
        <gapWidth val="3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7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numFmt formatCode="[&lt;17]&quot;Mg &quot;0;&quot;&quot;" sourceLinked="0"/>
        <majorTickMark val="none"/>
        <minorTickMark val="none"/>
        <crossAx val="10"/>
        <crosses val="max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2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Gantt Chart Proyek Shea Daily (Ringkasan per Fase)</t>
        </is>
      </c>
    </row>
    <row r="2">
      <c r="A2" s="2" t="inlineStr">
        <is>
          <t>Otomatis mengikuti status di sheet WBS. Gelap = progres selesai, terang = sisa. Abu-abu = UTS Mg 11 dan UAS Mg 16, kuning = milestone M1-M9.</t>
        </is>
      </c>
    </row>
    <row r="3">
      <c r="A3" s="3" t="str">
        <f>"Posisi saat ini: "&amp;TEXT(TODAY(),"dd-mm-yyyy")&amp;" = Minggu "&amp;(INT((TODAY()-WBS!$E$2)/7)+1)</f>
        <v>Posisi saat ini: 19-10-2026 = Minggu 4</v>
      </c>
    </row>
    <row r="33">
      <c r="A33" s="2" t="inlineStr">
        <is>
          <t>Rencana ini dipantau setiap minggu</t>
        </is>
      </c>
    </row>
    <row r="34">
      <c r="A34" s="4" t="inlineStr">
        <is>
          <t>Warna:</t>
        </is>
      </c>
      <c r="B34" s="5" t="inlineStr">
        <is>
          <t>Manajemen</t>
        </is>
      </c>
      <c r="C34" s="6" t="inlineStr">
        <is>
          <t>Definisi</t>
        </is>
      </c>
      <c r="D34" s="7" t="inlineStr">
        <is>
          <t>Perencanaan</t>
        </is>
      </c>
      <c r="E34" s="8" t="inlineStr">
        <is>
          <t>Analisis</t>
        </is>
      </c>
      <c r="F34" s="9" t="inlineStr">
        <is>
          <t>Desain</t>
        </is>
      </c>
      <c r="G34" s="10" t="inlineStr">
        <is>
          <t>Pemrograman</t>
        </is>
      </c>
      <c r="H34" s="11" t="inlineStr">
        <is>
          <t>Pengujian</t>
        </is>
      </c>
      <c r="I34" s="12" t="inlineStr">
        <is>
          <t>Penerapan</t>
        </is>
      </c>
      <c r="J34" s="13" t="inlineStr">
        <is>
          <t>UTS / UAS</t>
        </is>
      </c>
      <c r="K34" s="14" t="inlineStr">
        <is>
          <t>Milestone</t>
        </is>
      </c>
    </row>
    <row r="35">
      <c r="A35" s="15" t="inlineStr">
        <is>
          <t>Data bantu grafik (otomatis, jangan diedit)</t>
        </is>
      </c>
    </row>
    <row r="36">
      <c r="A36" s="16" t="inlineStr">
        <is>
          <t>Item</t>
        </is>
      </c>
      <c r="B36" s="16" t="inlineStr">
        <is>
          <t>Mulai (Mg)</t>
        </is>
      </c>
      <c r="C36" s="16" t="inlineStr">
        <is>
          <t>Selesai (Mg)</t>
        </is>
      </c>
      <c r="D36" s="16" t="inlineStr">
        <is>
          <t>Sisa (Mg)</t>
        </is>
      </c>
      <c r="E36" s="16" t="inlineStr">
        <is>
          <t>Minggu</t>
        </is>
      </c>
      <c r="F36" s="16" t="inlineStr">
        <is>
          <t>Progres / Status</t>
        </is>
      </c>
    </row>
    <row r="37">
      <c r="A37" s="17" t="inlineStr">
        <is>
          <t>Manajemen Proyek</t>
        </is>
      </c>
      <c r="B37" s="18">
        <f>(INT((WBS!E5-WBS!$E$2)/7)+1)</f>
        <v>1</v>
      </c>
      <c r="C37" s="19">
        <f>ROUND(F37*((INT((WBS!F5-WBS!$E$2)/7)+1)-B37+1),1)</f>
        <v>3.1</v>
      </c>
      <c r="D37" s="19">
        <f>ROUND(((INT((WBS!F5-WBS!$E$2)/7)+1)-B37+1)-C37,1)</f>
        <v>11.9</v>
      </c>
      <c r="E37" s="20" t="str">
        <f>"Mg "&amp;B37&amp;IF((INT((WBS!F5-WBS!$E$2)/7)+1)&gt;B37,"-"&amp;(INT((WBS!F5-WBS!$E$2)/7)+1),"")</f>
        <v>Mg 1-15</v>
      </c>
      <c r="F37" s="21">
        <f>WBS!J5</f>
        <v>0.20952380952381</v>
      </c>
    </row>
    <row r="38">
      <c r="A38" s="22" t="inlineStr">
        <is>
          <t>Definisi</t>
        </is>
      </c>
      <c r="B38" s="18">
        <f>(INT((WBS!E9-WBS!$E$2)/7)+1)</f>
        <v>1</v>
      </c>
      <c r="C38" s="19">
        <f>ROUND(F38*((INT((WBS!F9-WBS!$E$2)/7)+1)-B38+1),1)</f>
        <v>2</v>
      </c>
      <c r="D38" s="19">
        <f>ROUND(((INT((WBS!F9-WBS!$E$2)/7)+1)-B38+1)-C38,1)</f>
        <v>1</v>
      </c>
      <c r="E38" s="20" t="str">
        <f>"Mg "&amp;B38&amp;IF((INT((WBS!F9-WBS!$E$2)/7)+1)&gt;B38,"-"&amp;(INT((WBS!F9-WBS!$E$2)/7)+1),"")</f>
        <v>Mg 1-3</v>
      </c>
      <c r="F38" s="21">
        <f>WBS!J9</f>
        <v>0.681818181818182</v>
      </c>
    </row>
    <row r="39">
      <c r="A39" s="23" t="inlineStr">
        <is>
          <t>Perencanaan</t>
        </is>
      </c>
      <c r="B39" s="18">
        <f>(INT((WBS!E13-WBS!$E$2)/7)+1)</f>
        <v>3</v>
      </c>
      <c r="C39" s="19">
        <f>ROUND(F39*((INT((WBS!F13-WBS!$E$2)/7)+1)-B39+1),1)</f>
        <v>2</v>
      </c>
      <c r="D39" s="19">
        <f>ROUND(((INT((WBS!F13-WBS!$E$2)/7)+1)-B39+1)-C39,1)</f>
        <v>0</v>
      </c>
      <c r="E39" s="20" t="str">
        <f>"Mg "&amp;B39&amp;IF((INT((WBS!F13-WBS!$E$2)/7)+1)&gt;B39,"-"&amp;(INT((WBS!F13-WBS!$E$2)/7)+1),"")</f>
        <v>Mg 3-4</v>
      </c>
      <c r="F39" s="21">
        <f>WBS!J13</f>
        <v>1</v>
      </c>
    </row>
    <row r="40">
      <c r="A40" s="24" t="inlineStr">
        <is>
          <t>Analisis</t>
        </is>
      </c>
      <c r="B40" s="18">
        <f>(INT((WBS!E18-WBS!$E$2)/7)+1)</f>
        <v>5</v>
      </c>
      <c r="C40" s="19">
        <f>ROUND(F40*((INT((WBS!F18-WBS!$E$2)/7)+1)-B40+1),1)</f>
        <v>0</v>
      </c>
      <c r="D40" s="19">
        <f>ROUND(((INT((WBS!F18-WBS!$E$2)/7)+1)-B40+1)-C40,1)</f>
        <v>2</v>
      </c>
      <c r="E40" s="20" t="str">
        <f>"Mg "&amp;B40&amp;IF((INT((WBS!F18-WBS!$E$2)/7)+1)&gt;B40,"-"&amp;(INT((WBS!F18-WBS!$E$2)/7)+1),"")</f>
        <v>Mg 5-6</v>
      </c>
      <c r="F40" s="21">
        <f>WBS!J18</f>
        <v>0</v>
      </c>
    </row>
    <row r="41">
      <c r="A41" s="25" t="inlineStr">
        <is>
          <t>Desain</t>
        </is>
      </c>
      <c r="B41" s="18">
        <f>(INT((WBS!E23-WBS!$E$2)/7)+1)</f>
        <v>7</v>
      </c>
      <c r="C41" s="19">
        <f>ROUND(F41*((INT((WBS!F23-WBS!$E$2)/7)+1)-B41+1),1)</f>
        <v>0</v>
      </c>
      <c r="D41" s="19">
        <f>ROUND(((INT((WBS!F23-WBS!$E$2)/7)+1)-B41+1)-C41,1)</f>
        <v>2</v>
      </c>
      <c r="E41" s="20" t="str">
        <f>"Mg "&amp;B41&amp;IF((INT((WBS!F23-WBS!$E$2)/7)+1)&gt;B41,"-"&amp;(INT((WBS!F23-WBS!$E$2)/7)+1),"")</f>
        <v>Mg 7-8</v>
      </c>
      <c r="F41" s="21">
        <f>WBS!J23</f>
        <v>0</v>
      </c>
    </row>
    <row r="42">
      <c r="A42" s="26" t="inlineStr">
        <is>
          <t>Pemrograman</t>
        </is>
      </c>
      <c r="B42" s="18">
        <f>(INT((WBS!E28-WBS!$E$2)/7)+1)</f>
        <v>9</v>
      </c>
      <c r="C42" s="19">
        <f>ROUND(F42*((INT((WBS!F28-WBS!$E$2)/7)+1)-B42+1),1)</f>
        <v>0</v>
      </c>
      <c r="D42" s="19">
        <f>ROUND(((INT((WBS!F28-WBS!$E$2)/7)+1)-B42+1)-C42,1)</f>
        <v>4</v>
      </c>
      <c r="E42" s="20" t="str">
        <f>"Mg "&amp;B42&amp;IF((INT((WBS!F28-WBS!$E$2)/7)+1)&gt;B42,"-"&amp;(INT((WBS!F28-WBS!$E$2)/7)+1),"")</f>
        <v>Mg 9-12</v>
      </c>
      <c r="F42" s="21">
        <f>WBS!J28</f>
        <v>0</v>
      </c>
    </row>
    <row r="43">
      <c r="A43" s="27" t="inlineStr">
        <is>
          <t>Pengujian</t>
        </is>
      </c>
      <c r="B43" s="18">
        <f>(INT((WBS!E33-WBS!$E$2)/7)+1)</f>
        <v>13</v>
      </c>
      <c r="C43" s="19">
        <f>ROUND(F43*((INT((WBS!F33-WBS!$E$2)/7)+1)-B43+1),1)</f>
        <v>0</v>
      </c>
      <c r="D43" s="19">
        <f>ROUND(((INT((WBS!F33-WBS!$E$2)/7)+1)-B43+1)-C43,1)</f>
        <v>1</v>
      </c>
      <c r="E43" s="20" t="str">
        <f>"Mg "&amp;B43&amp;IF((INT((WBS!F33-WBS!$E$2)/7)+1)&gt;B43,"-"&amp;(INT((WBS!F33-WBS!$E$2)/7)+1),"")</f>
        <v>Mg 13</v>
      </c>
      <c r="F43" s="21">
        <f>WBS!J33</f>
        <v>0</v>
      </c>
    </row>
    <row r="44">
      <c r="A44" s="28" t="inlineStr">
        <is>
          <t>Penerapan</t>
        </is>
      </c>
      <c r="B44" s="18">
        <f>(INT((WBS!E37-WBS!$E$2)/7)+1)</f>
        <v>14</v>
      </c>
      <c r="C44" s="19">
        <f>ROUND(F44*((INT((WBS!F37-WBS!$E$2)/7)+1)-B44+1),1)</f>
        <v>0</v>
      </c>
      <c r="D44" s="19">
        <f>ROUND(((INT((WBS!F37-WBS!$E$2)/7)+1)-B44+1)-C44,1)</f>
        <v>2</v>
      </c>
      <c r="E44" s="20" t="str">
        <f>"Mg "&amp;B44&amp;IF((INT((WBS!F37-WBS!$E$2)/7)+1)&gt;B44,"-"&amp;(INT((WBS!F37-WBS!$E$2)/7)+1),"")</f>
        <v>Mg 14-15</v>
      </c>
      <c r="F44" s="21">
        <f>WBS!J37</f>
        <v>0</v>
      </c>
    </row>
    <row r="45">
      <c r="A45" s="29" t="inlineStr">
        <is>
          <t>UTS (Mg 11)</t>
        </is>
      </c>
      <c r="B45" s="18" t="n">
        <v>11</v>
      </c>
      <c r="C45" s="19" t="n">
        <v>0</v>
      </c>
      <c r="D45" s="19" t="n">
        <v>1</v>
      </c>
      <c r="E45" s="20" t="inlineStr">
        <is>
          <t>Mg 11</t>
        </is>
      </c>
      <c r="F45" s="20" t="inlineStr">
        <is>
          <t>Libur/ujian</t>
        </is>
      </c>
    </row>
    <row r="46">
      <c r="A46" s="29" t="inlineStr">
        <is>
          <t>UAS (Mg 16)</t>
        </is>
      </c>
      <c r="B46" s="18" t="n">
        <v>16</v>
      </c>
      <c r="C46" s="19" t="n">
        <v>0</v>
      </c>
      <c r="D46" s="19" t="n">
        <v>1</v>
      </c>
      <c r="E46" s="20" t="inlineStr">
        <is>
          <t>Mg 16</t>
        </is>
      </c>
      <c r="F46" s="20" t="inlineStr">
        <is>
          <t>Libur/ujian</t>
        </is>
      </c>
    </row>
    <row r="47">
      <c r="A47" s="30" t="inlineStr">
        <is>
          <t>M1 RD disetujui klien</t>
        </is>
      </c>
      <c r="B47" s="18">
        <f>Milestone!C4+0.35</f>
        <v>3.35</v>
      </c>
      <c r="C47" s="19" t="n">
        <v>0</v>
      </c>
      <c r="D47" s="19" t="n">
        <v>0.3</v>
      </c>
      <c r="E47" s="20" t="str">
        <f>"Mg "&amp;Milestone!C4</f>
        <v>Mg 3</v>
      </c>
      <c r="F47" s="20" t="str">
        <f>Milestone!G4</f>
        <v>Terlambat</v>
      </c>
    </row>
    <row r="48">
      <c r="A48" s="30" t="inlineStr">
        <is>
          <t>M2 WBS &amp; Gantt selesai</t>
        </is>
      </c>
      <c r="B48" s="18">
        <f>Milestone!C5+0.35</f>
        <v>4.35</v>
      </c>
      <c r="C48" s="19" t="n">
        <v>0</v>
      </c>
      <c r="D48" s="19" t="n">
        <v>0.3</v>
      </c>
      <c r="E48" s="20" t="str">
        <f>"Mg "&amp;Milestone!C5</f>
        <v>Mg 4</v>
      </c>
      <c r="F48" s="20" t="str">
        <f>Milestone!G5</f>
        <v>✓ Tercapai</v>
      </c>
    </row>
    <row r="49">
      <c r="A49" s="30" t="inlineStr">
        <is>
          <t>M3 SRS selesai</t>
        </is>
      </c>
      <c r="B49" s="18">
        <f>Milestone!C6+0.35</f>
        <v>6.35</v>
      </c>
      <c r="C49" s="19" t="n">
        <v>0</v>
      </c>
      <c r="D49" s="19" t="n">
        <v>0.3</v>
      </c>
      <c r="E49" s="20" t="str">
        <f>"Mg "&amp;Milestone!C6</f>
        <v>Mg 6</v>
      </c>
      <c r="F49" s="20" t="str">
        <f>Milestone!G6</f>
        <v>Belum</v>
      </c>
    </row>
    <row r="50">
      <c r="A50" s="30" t="inlineStr">
        <is>
          <t>M4 SDD selesai</t>
        </is>
      </c>
      <c r="B50" s="18">
        <f>Milestone!C7+0.35</f>
        <v>8.35</v>
      </c>
      <c r="C50" s="19" t="n">
        <v>0</v>
      </c>
      <c r="D50" s="19" t="n">
        <v>0.3</v>
      </c>
      <c r="E50" s="20" t="str">
        <f>"Mg "&amp;Milestone!C7</f>
        <v>Mg 8</v>
      </c>
      <c r="F50" s="20" t="str">
        <f>Milestone!G7</f>
        <v>Belum</v>
      </c>
    </row>
    <row r="51">
      <c r="A51" s="30" t="inlineStr">
        <is>
          <t>M5 Demo Modul 1</t>
        </is>
      </c>
      <c r="B51" s="18">
        <f>Milestone!C8+0.35</f>
        <v>9.35</v>
      </c>
      <c r="C51" s="19" t="n">
        <v>0</v>
      </c>
      <c r="D51" s="19" t="n">
        <v>0.3</v>
      </c>
      <c r="E51" s="20" t="str">
        <f>"Mg "&amp;Milestone!C8</f>
        <v>Mg 9</v>
      </c>
      <c r="F51" s="20" t="str">
        <f>Milestone!G8</f>
        <v>Belum</v>
      </c>
    </row>
    <row r="52">
      <c r="A52" s="30" t="inlineStr">
        <is>
          <t>M6 Demo Modul 2</t>
        </is>
      </c>
      <c r="B52" s="18">
        <f>Milestone!C9+0.35</f>
        <v>10.35</v>
      </c>
      <c r="C52" s="19" t="n">
        <v>0</v>
      </c>
      <c r="D52" s="19" t="n">
        <v>0.3</v>
      </c>
      <c r="E52" s="20" t="str">
        <f>"Mg "&amp;Milestone!C9</f>
        <v>Mg 10</v>
      </c>
      <c r="F52" s="20" t="str">
        <f>Milestone!G9</f>
        <v>Belum</v>
      </c>
    </row>
    <row r="53">
      <c r="A53" s="30" t="inlineStr">
        <is>
          <t>M7 Demo Modul 3</t>
        </is>
      </c>
      <c r="B53" s="18">
        <f>Milestone!C10+0.35</f>
        <v>12.35</v>
      </c>
      <c r="C53" s="19" t="n">
        <v>0</v>
      </c>
      <c r="D53" s="19" t="n">
        <v>0.3</v>
      </c>
      <c r="E53" s="20" t="str">
        <f>"Mg "&amp;Milestone!C10</f>
        <v>Mg 12</v>
      </c>
      <c r="F53" s="20" t="str">
        <f>Milestone!G10</f>
        <v>Belum</v>
      </c>
    </row>
    <row r="54">
      <c r="A54" s="30" t="inlineStr">
        <is>
          <t>M8 UAT diterima</t>
        </is>
      </c>
      <c r="B54" s="18">
        <f>Milestone!C11+0.35</f>
        <v>13.35</v>
      </c>
      <c r="C54" s="19" t="n">
        <v>0</v>
      </c>
      <c r="D54" s="19" t="n">
        <v>0.3</v>
      </c>
      <c r="E54" s="20" t="str">
        <f>"Mg "&amp;Milestone!C11</f>
        <v>Mg 13</v>
      </c>
      <c r="F54" s="20" t="str">
        <f>Milestone!G11</f>
        <v>Belum</v>
      </c>
    </row>
    <row r="55">
      <c r="A55" s="30" t="inlineStr">
        <is>
          <t>M9 Pelatihan &amp; BAST</t>
        </is>
      </c>
      <c r="B55" s="18">
        <f>Milestone!C12+0.35</f>
        <v>15.35</v>
      </c>
      <c r="C55" s="19" t="n">
        <v>0</v>
      </c>
      <c r="D55" s="19" t="n">
        <v>0.3</v>
      </c>
      <c r="E55" s="20" t="str">
        <f>"Mg "&amp;Milestone!C12</f>
        <v>Mg 15</v>
      </c>
      <c r="F55" s="20" t="str">
        <f>Milestone!G12</f>
        <v>Belum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4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34" customWidth="1" min="3" max="3"/>
    <col width="20" customWidth="1" min="4" max="4"/>
    <col width="12" customWidth="1" min="5" max="5"/>
    <col width="12" customWidth="1" min="6" max="6"/>
    <col width="9" customWidth="1" min="7" max="7"/>
    <col width="11" customWidth="1" min="8" max="8"/>
    <col width="12" customWidth="1" min="9" max="9"/>
    <col width="9" customWidth="1" min="10" max="10"/>
    <col hidden="1" width="6" customWidth="1" min="11" max="11"/>
    <col hidden="1" width="6" customWidth="1" min="12" max="12"/>
    <col hidden="1" width="9" customWidth="1" min="13" max="13"/>
    <col width="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</cols>
  <sheetData>
    <row r="1">
      <c r="A1" s="1" t="inlineStr">
        <is>
          <t>Work Breakdown Structure &amp; Jadwal Proyek Shea Daily</t>
        </is>
      </c>
    </row>
    <row r="2">
      <c r="A2" s="2" t="inlineStr">
        <is>
          <t>Ubah kolom Status (dropdown) → Gantt otomatis ikut. Tanggal Mg 1:</t>
        </is>
      </c>
      <c r="E2" s="31" t="n">
        <v>46293</v>
      </c>
    </row>
    <row r="3">
      <c r="A3" s="3" t="str">
        <f>"Hari ini: "&amp;TEXT(TODAY(),"dd-mm-yyyy")&amp;" (Minggu "&amp;(INT((TODAY()-$E$2)/7)+1)&amp;")"</f>
        <v>Hari ini: 19-10-2026 (Minggu 4)</v>
      </c>
      <c r="O3" s="32">
        <f>$E$2+0</f>
        <v>46293.0</v>
      </c>
      <c r="P3" s="32">
        <f>$E$2+7</f>
        <v>46300.0</v>
      </c>
      <c r="Q3" s="32">
        <f>$E$2+14</f>
        <v>46307.0</v>
      </c>
      <c r="R3" s="32">
        <f>$E$2+21</f>
        <v>46314.0</v>
      </c>
      <c r="S3" s="32">
        <f>$E$2+28</f>
        <v>46321.0</v>
      </c>
      <c r="T3" s="32">
        <f>$E$2+35</f>
        <v>46328.0</v>
      </c>
      <c r="U3" s="32">
        <f>$E$2+42</f>
        <v>46335.0</v>
      </c>
      <c r="V3" s="32">
        <f>$E$2+49</f>
        <v>46342.0</v>
      </c>
      <c r="W3" s="32">
        <f>$E$2+56</f>
        <v>46349.0</v>
      </c>
      <c r="X3" s="32">
        <f>$E$2+63</f>
        <v>46356.0</v>
      </c>
      <c r="Y3" s="32">
        <f>$E$2+70</f>
        <v>46363.0</v>
      </c>
      <c r="Z3" s="32">
        <f>$E$2+77</f>
        <v>46370.0</v>
      </c>
      <c r="AA3" s="32">
        <f>$E$2+84</f>
        <v>46377.0</v>
      </c>
      <c r="AB3" s="32">
        <f>$E$2+91</f>
        <v>46384.0</v>
      </c>
      <c r="AC3" s="32">
        <f>$E$2+98</f>
        <v>46391.0</v>
      </c>
      <c r="AD3" s="32">
        <f>$E$2+105</f>
        <v>46398.0</v>
      </c>
    </row>
    <row r="4" ht="32" customHeight="1">
      <c r="A4" s="33" t="inlineStr">
        <is>
          <t>Kode</t>
        </is>
      </c>
      <c r="B4" s="33" t="inlineStr">
        <is>
          <t>Paket Kerja</t>
        </is>
      </c>
      <c r="C4" s="33" t="inlineStr">
        <is>
          <t>Deliverable</t>
        </is>
      </c>
      <c r="D4" s="33" t="inlineStr">
        <is>
          <t>PIC (Peran)</t>
        </is>
      </c>
      <c r="E4" s="33" t="inlineStr">
        <is>
          <t>Mulai</t>
        </is>
      </c>
      <c r="F4" s="33" t="inlineStr">
        <is>
          <t>Selesai</t>
        </is>
      </c>
      <c r="G4" s="33" t="inlineStr">
        <is>
          <t>Durasi (hari)</t>
        </is>
      </c>
      <c r="H4" s="33" t="inlineStr">
        <is>
          <t>Pendahulu</t>
        </is>
      </c>
      <c r="I4" s="33" t="inlineStr">
        <is>
          <t>Status</t>
        </is>
      </c>
      <c r="J4" s="33" t="inlineStr">
        <is>
          <t>Progres</t>
        </is>
      </c>
      <c r="K4" s="33" t="inlineStr">
        <is>
          <t>Level</t>
        </is>
      </c>
      <c r="L4" s="33" t="inlineStr">
        <is>
          <t>Induk</t>
        </is>
      </c>
      <c r="M4" s="33" t="inlineStr">
        <is>
          <t>Hari selesai</t>
        </is>
      </c>
      <c r="O4" s="34" t="inlineStr">
        <is>
          <t>Mg 1</t>
        </is>
      </c>
      <c r="P4" s="34" t="inlineStr">
        <is>
          <t>Mg 2</t>
        </is>
      </c>
      <c r="Q4" s="34" t="inlineStr">
        <is>
          <t>Mg 3</t>
        </is>
      </c>
      <c r="R4" s="34" t="inlineStr">
        <is>
          <t>Mg 4</t>
        </is>
      </c>
      <c r="S4" s="34" t="inlineStr">
        <is>
          <t>Mg 5</t>
        </is>
      </c>
      <c r="T4" s="34" t="inlineStr">
        <is>
          <t>Mg 6</t>
        </is>
      </c>
      <c r="U4" s="34" t="inlineStr">
        <is>
          <t>Mg 7</t>
        </is>
      </c>
      <c r="V4" s="34" t="inlineStr">
        <is>
          <t>Mg 8</t>
        </is>
      </c>
      <c r="W4" s="34" t="inlineStr">
        <is>
          <t>Mg 9</t>
        </is>
      </c>
      <c r="X4" s="34" t="inlineStr">
        <is>
          <t>Mg 10</t>
        </is>
      </c>
      <c r="Y4" s="35" t="inlineStr">
        <is>
          <t>Mg 11
UTS</t>
        </is>
      </c>
      <c r="Z4" s="34" t="inlineStr">
        <is>
          <t>Mg 12</t>
        </is>
      </c>
      <c r="AA4" s="34" t="inlineStr">
        <is>
          <t>Mg 13</t>
        </is>
      </c>
      <c r="AB4" s="34" t="inlineStr">
        <is>
          <t>Mg 14</t>
        </is>
      </c>
      <c r="AC4" s="34" t="inlineStr">
        <is>
          <t>Mg 15</t>
        </is>
      </c>
      <c r="AD4" s="35" t="inlineStr">
        <is>
          <t>Mg 16
UAS</t>
        </is>
      </c>
    </row>
    <row r="5">
      <c r="A5" s="36" t="inlineStr">
        <is>
          <t>1</t>
        </is>
      </c>
      <c r="B5" s="37" t="inlineStr">
        <is>
          <t>Manajemen Proyek</t>
        </is>
      </c>
      <c r="C5" s="37" t="inlineStr">
        <is>
          <t>Notulen, laporan status</t>
        </is>
      </c>
      <c r="D5" s="38" t="inlineStr">
        <is>
          <t>PM (Rico)</t>
        </is>
      </c>
      <c r="E5" s="39">
        <f>MIN(E6:E8)</f>
        <v>46293.0</v>
      </c>
      <c r="F5" s="39">
        <f>MAX(F6:F8)</f>
        <v>46397.0</v>
      </c>
      <c r="G5" s="36">
        <f>F5-E5+1</f>
        <v>105</v>
      </c>
      <c r="H5" s="36" t="inlineStr"/>
      <c r="I5" s="36" t="inlineStr">
        <is>
          <t>Berjalan</t>
        </is>
      </c>
      <c r="J5" s="40">
        <f>MAX(0,MIN(1,(TODAY()-E5+1)/G5))</f>
        <v>0.20952380952381</v>
      </c>
      <c r="K5" s="36" t="n">
        <v>1</v>
      </c>
      <c r="L5" s="41" t="n"/>
      <c r="M5" s="36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3" t="n"/>
      <c r="Z5" s="42" t="n"/>
      <c r="AA5" s="42" t="n"/>
      <c r="AB5" s="42" t="n"/>
      <c r="AC5" s="42" t="n"/>
      <c r="AD5" s="43" t="n"/>
    </row>
    <row r="6">
      <c r="A6" s="44" t="inlineStr">
        <is>
          <t>1.1</t>
        </is>
      </c>
      <c r="B6" s="45" t="inlineStr">
        <is>
          <t>Rapat mingguan tim &amp; klien</t>
        </is>
      </c>
      <c r="C6" s="45" t="inlineStr">
        <is>
          <t>Notulen rapat</t>
        </is>
      </c>
      <c r="D6" s="46" t="inlineStr">
        <is>
          <t>PM (Rico)</t>
        </is>
      </c>
      <c r="E6" s="47" t="n">
        <v>46293</v>
      </c>
      <c r="F6" s="47" t="n">
        <v>46397</v>
      </c>
      <c r="G6" s="44">
        <f>F6-E6+1</f>
        <v>105</v>
      </c>
      <c r="H6" s="44" t="inlineStr"/>
      <c r="I6" s="44" t="inlineStr">
        <is>
          <t>Berjalan</t>
        </is>
      </c>
      <c r="J6" s="48">
        <f>IF(I6="✓ Selesai",1,0)</f>
        <v>0</v>
      </c>
      <c r="K6" s="44" t="n">
        <v>2</v>
      </c>
      <c r="L6" s="44" t="n">
        <v>1</v>
      </c>
      <c r="M6" s="44">
        <f>IF(I6="✓ Selesai",G6,0)</f>
        <v>0</v>
      </c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3" t="n"/>
      <c r="Z6" s="42" t="n"/>
      <c r="AA6" s="42" t="n"/>
      <c r="AB6" s="42" t="n"/>
      <c r="AC6" s="42" t="n"/>
      <c r="AD6" s="43" t="n"/>
    </row>
    <row r="7">
      <c r="A7" s="44" t="inlineStr">
        <is>
          <t>1.2</t>
        </is>
      </c>
      <c r="B7" s="45" t="inlineStr">
        <is>
          <t>Pemantauan jadwal &amp; risiko</t>
        </is>
      </c>
      <c r="C7" s="45" t="inlineStr">
        <is>
          <t>Gantt (kolom realisasi), daftar risiko</t>
        </is>
      </c>
      <c r="D7" s="46" t="inlineStr">
        <is>
          <t>PM (Rico)</t>
        </is>
      </c>
      <c r="E7" s="47" t="n">
        <v>46293</v>
      </c>
      <c r="F7" s="47" t="n">
        <v>46397</v>
      </c>
      <c r="G7" s="44">
        <f>F7-E7+1</f>
        <v>105</v>
      </c>
      <c r="H7" s="44" t="inlineStr"/>
      <c r="I7" s="44" t="inlineStr">
        <is>
          <t>Berjalan</t>
        </is>
      </c>
      <c r="J7" s="48">
        <f>IF(I7="✓ Selesai",1,0)</f>
        <v>0</v>
      </c>
      <c r="K7" s="44" t="n">
        <v>2</v>
      </c>
      <c r="L7" s="44" t="n">
        <v>1</v>
      </c>
      <c r="M7" s="44">
        <f>IF(I7="✓ Selesai",G7,0)</f>
        <v>0</v>
      </c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3" t="n"/>
      <c r="Z7" s="42" t="n"/>
      <c r="AA7" s="42" t="n"/>
      <c r="AB7" s="42" t="n"/>
      <c r="AC7" s="42" t="n"/>
      <c r="AD7" s="43" t="n"/>
    </row>
    <row r="8">
      <c r="A8" s="44" t="inlineStr">
        <is>
          <t>1.3</t>
        </is>
      </c>
      <c r="B8" s="45" t="inlineStr">
        <is>
          <t>Komunikasi &amp; persetujuan klien</t>
        </is>
      </c>
      <c r="C8" s="45" t="inlineStr">
        <is>
          <t>Lembar persetujuan, hasil review</t>
        </is>
      </c>
      <c r="D8" s="46" t="inlineStr">
        <is>
          <t>PM (Rico)</t>
        </is>
      </c>
      <c r="E8" s="47" t="n">
        <v>46293</v>
      </c>
      <c r="F8" s="47" t="n">
        <v>46383</v>
      </c>
      <c r="G8" s="44">
        <f>F8-E8+1</f>
        <v>91</v>
      </c>
      <c r="H8" s="44" t="inlineStr"/>
      <c r="I8" s="44" t="inlineStr">
        <is>
          <t>Berjalan</t>
        </is>
      </c>
      <c r="J8" s="48">
        <f>IF(I8="✓ Selesai",1,0)</f>
        <v>0</v>
      </c>
      <c r="K8" s="44" t="n">
        <v>2</v>
      </c>
      <c r="L8" s="44" t="n">
        <v>1</v>
      </c>
      <c r="M8" s="44">
        <f>IF(I8="✓ Selesai",G8,0)</f>
        <v>0</v>
      </c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3" t="n"/>
      <c r="Z8" s="42" t="n"/>
      <c r="AA8" s="42" t="n"/>
      <c r="AB8" s="42" t="n"/>
      <c r="AC8" s="42" t="n"/>
      <c r="AD8" s="43" t="n"/>
    </row>
    <row r="9">
      <c r="A9" s="36" t="inlineStr">
        <is>
          <t>2</t>
        </is>
      </c>
      <c r="B9" s="37" t="inlineStr">
        <is>
          <t>Definisi Proyek</t>
        </is>
      </c>
      <c r="C9" s="37" t="inlineStr">
        <is>
          <t>Requirement Document</t>
        </is>
      </c>
      <c r="D9" s="38" t="inlineStr">
        <is>
          <t>SA (Rifki)</t>
        </is>
      </c>
      <c r="E9" s="39">
        <f>MIN(E10:E12)</f>
        <v>46293.0</v>
      </c>
      <c r="F9" s="39">
        <f>MAX(F10:F12)</f>
        <v>46313.0</v>
      </c>
      <c r="G9" s="36">
        <f>F9-E9+1</f>
        <v>21</v>
      </c>
      <c r="H9" s="36" t="inlineStr">
        <is>
          <t>-</t>
        </is>
      </c>
      <c r="I9" s="36" t="str">
        <f>IF(J9&gt;=1,"✓ Selesai",IF(COUNTIFS($L$5:$L$41,2,$I$5:$I$41,"Terlambat")&gt;0,"Terlambat",IF(OR(J9&gt;0,COUNTIFS($L$5:$L$41,2,$I$5:$I$41,"Berjalan")&gt;0),"Berjalan","Belum")))</f>
        <v>Terlambat</v>
      </c>
      <c r="J9" s="40">
        <f>IFERROR(SUMIFS($M$5:$M$41,$L$5:$L$41,2)/SUMIFS($G$5:$G$41,$L$5:$L$41,2),0)</f>
        <v>0.681818181818182</v>
      </c>
      <c r="K9" s="36" t="n">
        <v>1</v>
      </c>
      <c r="L9" s="41" t="n"/>
      <c r="M9" s="36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3" t="n"/>
      <c r="Z9" s="42" t="n"/>
      <c r="AA9" s="42" t="n"/>
      <c r="AB9" s="42" t="n"/>
      <c r="AC9" s="42" t="n"/>
      <c r="AD9" s="43" t="n"/>
    </row>
    <row r="10">
      <c r="A10" s="44" t="inlineStr">
        <is>
          <t>2.1</t>
        </is>
      </c>
      <c r="B10" s="45" t="inlineStr">
        <is>
          <t>Identifikasi klien &amp; masalah (wawancara)</t>
        </is>
      </c>
      <c r="C10" s="45" t="inlineStr">
        <is>
          <t>Notulen wawancara 10 Okt</t>
        </is>
      </c>
      <c r="D10" s="46" t="inlineStr">
        <is>
          <t>SA (Rifki)</t>
        </is>
      </c>
      <c r="E10" s="47" t="n">
        <v>46293</v>
      </c>
      <c r="F10" s="47" t="n">
        <v>46305</v>
      </c>
      <c r="G10" s="44">
        <f>F10-E10+1</f>
        <v>13</v>
      </c>
      <c r="H10" s="44" t="inlineStr">
        <is>
          <t>-</t>
        </is>
      </c>
      <c r="I10" s="44" t="inlineStr">
        <is>
          <t>✓ Selesai</t>
        </is>
      </c>
      <c r="J10" s="48">
        <f>IF(I10="✓ Selesai",1,0)</f>
        <v>1</v>
      </c>
      <c r="K10" s="44" t="n">
        <v>2</v>
      </c>
      <c r="L10" s="44" t="n">
        <v>2</v>
      </c>
      <c r="M10" s="44">
        <f>IF(I10="✓ Selesai",G10,0)</f>
        <v>13</v>
      </c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3" t="n"/>
      <c r="Z10" s="42" t="n"/>
      <c r="AA10" s="42" t="n"/>
      <c r="AB10" s="42" t="n"/>
      <c r="AC10" s="42" t="n"/>
      <c r="AD10" s="43" t="n"/>
    </row>
    <row r="11">
      <c r="A11" s="44" t="inlineStr">
        <is>
          <t>2.2</t>
        </is>
      </c>
      <c r="B11" s="45" t="inlineStr">
        <is>
          <t>Penyusunan Requirement Document</t>
        </is>
      </c>
      <c r="C11" s="45" t="inlineStr">
        <is>
          <t>Requirement Document (Bag. I)</t>
        </is>
      </c>
      <c r="D11" s="46" t="inlineStr">
        <is>
          <t>SA (Rifki)</t>
        </is>
      </c>
      <c r="E11" s="47" t="n">
        <v>46306</v>
      </c>
      <c r="F11" s="47" t="n">
        <v>46307</v>
      </c>
      <c r="G11" s="44">
        <f>F11-E11+1</f>
        <v>2</v>
      </c>
      <c r="H11" s="44" t="inlineStr">
        <is>
          <t>2.1</t>
        </is>
      </c>
      <c r="I11" s="44" t="inlineStr">
        <is>
          <t>✓ Selesai</t>
        </is>
      </c>
      <c r="J11" s="48">
        <f>IF(I11="✓ Selesai",1,0)</f>
        <v>1</v>
      </c>
      <c r="K11" s="44" t="n">
        <v>2</v>
      </c>
      <c r="L11" s="44" t="n">
        <v>2</v>
      </c>
      <c r="M11" s="44">
        <f>IF(I11="✓ Selesai",G11,0)</f>
        <v>2</v>
      </c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3" t="n"/>
      <c r="Z11" s="42" t="n"/>
      <c r="AA11" s="42" t="n"/>
      <c r="AB11" s="42" t="n"/>
      <c r="AC11" s="42" t="n"/>
      <c r="AD11" s="43" t="n"/>
    </row>
    <row r="12">
      <c r="A12" s="44" t="inlineStr">
        <is>
          <t>2.3</t>
        </is>
      </c>
      <c r="B12" s="45" t="inlineStr">
        <is>
          <t>Persetujuan klien atas RD</t>
        </is>
      </c>
      <c r="C12" s="45" t="inlineStr">
        <is>
          <t>Lembar persetujuan klien</t>
        </is>
      </c>
      <c r="D12" s="46" t="inlineStr">
        <is>
          <t>PM (Rico)</t>
        </is>
      </c>
      <c r="E12" s="47" t="n">
        <v>46307</v>
      </c>
      <c r="F12" s="47" t="n">
        <v>46313</v>
      </c>
      <c r="G12" s="44">
        <f>F12-E12+1</f>
        <v>7</v>
      </c>
      <c r="H12" s="44" t="inlineStr">
        <is>
          <t>2.2</t>
        </is>
      </c>
      <c r="I12" s="44" t="inlineStr">
        <is>
          <t>Terlambat</t>
        </is>
      </c>
      <c r="J12" s="48">
        <f>IF(I12="✓ Selesai",1,0)</f>
        <v>0</v>
      </c>
      <c r="K12" s="44" t="n">
        <v>2</v>
      </c>
      <c r="L12" s="44" t="n">
        <v>2</v>
      </c>
      <c r="M12" s="44">
        <f>IF(I12="✓ Selesai",G12,0)</f>
        <v>0</v>
      </c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3" t="n"/>
      <c r="Z12" s="42" t="n"/>
      <c r="AA12" s="42" t="n"/>
      <c r="AB12" s="42" t="n"/>
      <c r="AC12" s="42" t="n"/>
      <c r="AD12" s="43" t="n"/>
    </row>
    <row r="13">
      <c r="A13" s="36" t="inlineStr">
        <is>
          <t>3</t>
        </is>
      </c>
      <c r="B13" s="37" t="inlineStr">
        <is>
          <t>Perencanaan</t>
        </is>
      </c>
      <c r="C13" s="37" t="inlineStr">
        <is>
          <t>Dokumen 01 Bag. II, Gantt Chart</t>
        </is>
      </c>
      <c r="D13" s="38" t="inlineStr">
        <is>
          <t>PM (Rico)</t>
        </is>
      </c>
      <c r="E13" s="39">
        <f>MIN(E14:E17)</f>
        <v>46307.0</v>
      </c>
      <c r="F13" s="39">
        <f>MAX(F14:F17)</f>
        <v>46320.0</v>
      </c>
      <c r="G13" s="36">
        <f>F13-E13+1</f>
        <v>14</v>
      </c>
      <c r="H13" s="36" t="inlineStr">
        <is>
          <t>2</t>
        </is>
      </c>
      <c r="I13" s="36" t="str">
        <f>IF(J13&gt;=1,"✓ Selesai",IF(COUNTIFS($L$5:$L$41,3,$I$5:$I$41,"Terlambat")&gt;0,"Terlambat",IF(OR(J13&gt;0,COUNTIFS($L$5:$L$41,3,$I$5:$I$41,"Berjalan")&gt;0),"Berjalan","Belum")))</f>
        <v>✓ Selesai</v>
      </c>
      <c r="J13" s="40">
        <f>IFERROR(SUMIFS($M$5:$M$41,$L$5:$L$41,3)/SUMIFS($G$5:$G$41,$L$5:$L$41,3),0)</f>
        <v>1</v>
      </c>
      <c r="K13" s="36" t="n">
        <v>1</v>
      </c>
      <c r="L13" s="41" t="n"/>
      <c r="M13" s="36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3" t="n"/>
      <c r="Z13" s="42" t="n"/>
      <c r="AA13" s="42" t="n"/>
      <c r="AB13" s="42" t="n"/>
      <c r="AC13" s="42" t="n"/>
      <c r="AD13" s="43" t="n"/>
    </row>
    <row r="14">
      <c r="A14" s="44" t="inlineStr">
        <is>
          <t>3.1</t>
        </is>
      </c>
      <c r="B14" s="45" t="inlineStr">
        <is>
          <t>Proses bisnis &amp; gambaran sistem</t>
        </is>
      </c>
      <c r="C14" s="45" t="inlineStr">
        <is>
          <t>Diagram as-is, to-be, gambaran sistem</t>
        </is>
      </c>
      <c r="D14" s="46" t="inlineStr">
        <is>
          <t>SD (Rifqi)</t>
        </is>
      </c>
      <c r="E14" s="47" t="n">
        <v>46307</v>
      </c>
      <c r="F14" s="47" t="n">
        <v>46311</v>
      </c>
      <c r="G14" s="44">
        <f>F14-E14+1</f>
        <v>5</v>
      </c>
      <c r="H14" s="44" t="inlineStr">
        <is>
          <t>2</t>
        </is>
      </c>
      <c r="I14" s="44" t="inlineStr">
        <is>
          <t>✓ Selesai</t>
        </is>
      </c>
      <c r="J14" s="48">
        <f>IF(I14="✓ Selesai",1,0)</f>
        <v>1</v>
      </c>
      <c r="K14" s="44" t="n">
        <v>2</v>
      </c>
      <c r="L14" s="44" t="n">
        <v>3</v>
      </c>
      <c r="M14" s="44">
        <f>IF(I14="✓ Selesai",G14,0)</f>
        <v>5</v>
      </c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3" t="n"/>
      <c r="Z14" s="42" t="n"/>
      <c r="AA14" s="42" t="n"/>
      <c r="AB14" s="42" t="n"/>
      <c r="AC14" s="42" t="n"/>
      <c r="AD14" s="43" t="n"/>
    </row>
    <row r="15">
      <c r="A15" s="44" t="inlineStr">
        <is>
          <t>3.2</t>
        </is>
      </c>
      <c r="B15" s="45" t="inlineStr">
        <is>
          <t>Analisis kelayakan</t>
        </is>
      </c>
      <c r="C15" s="45" t="inlineStr">
        <is>
          <t>Analisis teknis, ekonomi, operasional</t>
        </is>
      </c>
      <c r="D15" s="46" t="inlineStr">
        <is>
          <t>SA (Rifki)</t>
        </is>
      </c>
      <c r="E15" s="47" t="n">
        <v>46307</v>
      </c>
      <c r="F15" s="47" t="n">
        <v>46312</v>
      </c>
      <c r="G15" s="44">
        <f>F15-E15+1</f>
        <v>6</v>
      </c>
      <c r="H15" s="44" t="inlineStr">
        <is>
          <t>2</t>
        </is>
      </c>
      <c r="I15" s="44" t="inlineStr">
        <is>
          <t>✓ Selesai</t>
        </is>
      </c>
      <c r="J15" s="48">
        <f>IF(I15="✓ Selesai",1,0)</f>
        <v>1</v>
      </c>
      <c r="K15" s="44" t="n">
        <v>2</v>
      </c>
      <c r="L15" s="44" t="n">
        <v>3</v>
      </c>
      <c r="M15" s="44">
        <f>IF(I15="✓ Selesai",G15,0)</f>
        <v>6</v>
      </c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3" t="n"/>
      <c r="Z15" s="42" t="n"/>
      <c r="AA15" s="42" t="n"/>
      <c r="AB15" s="42" t="n"/>
      <c r="AC15" s="42" t="n"/>
      <c r="AD15" s="43" t="n"/>
    </row>
    <row r="16">
      <c r="A16" s="44" t="inlineStr">
        <is>
          <t>3.3</t>
        </is>
      </c>
      <c r="B16" s="45" t="inlineStr">
        <is>
          <t>WBS &amp; Gantt Chart</t>
        </is>
      </c>
      <c r="C16" s="45" t="inlineStr">
        <is>
          <t>WBS, Gantt Chart (Excel)</t>
        </is>
      </c>
      <c r="D16" s="46" t="inlineStr">
        <is>
          <t>PM (Rico)</t>
        </is>
      </c>
      <c r="E16" s="47" t="n">
        <v>46312</v>
      </c>
      <c r="F16" s="47" t="n">
        <v>46313</v>
      </c>
      <c r="G16" s="44">
        <f>F16-E16+1</f>
        <v>2</v>
      </c>
      <c r="H16" s="44" t="inlineStr">
        <is>
          <t>3.1, 3.2</t>
        </is>
      </c>
      <c r="I16" s="44" t="inlineStr">
        <is>
          <t>✓ Selesai</t>
        </is>
      </c>
      <c r="J16" s="48">
        <f>IF(I16="✓ Selesai",1,0)</f>
        <v>1</v>
      </c>
      <c r="K16" s="44" t="n">
        <v>2</v>
      </c>
      <c r="L16" s="44" t="n">
        <v>3</v>
      </c>
      <c r="M16" s="44">
        <f>IF(I16="✓ Selesai",G16,0)</f>
        <v>2</v>
      </c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3" t="n"/>
      <c r="Z16" s="42" t="n"/>
      <c r="AA16" s="42" t="n"/>
      <c r="AB16" s="42" t="n"/>
      <c r="AC16" s="42" t="n"/>
      <c r="AD16" s="43" t="n"/>
    </row>
    <row r="17">
      <c r="A17" s="44" t="inlineStr">
        <is>
          <t>3.4</t>
        </is>
      </c>
      <c r="B17" s="45" t="inlineStr">
        <is>
          <t>Penyusunan dokumen &amp; presentasi</t>
        </is>
      </c>
      <c r="C17" s="45" t="inlineStr">
        <is>
          <t>Dokumen 01 Bag. II, PPT</t>
        </is>
      </c>
      <c r="D17" s="46" t="inlineStr">
        <is>
          <t>PM (Rico)</t>
        </is>
      </c>
      <c r="E17" s="47" t="n">
        <v>46314</v>
      </c>
      <c r="F17" s="47" t="n">
        <v>46320</v>
      </c>
      <c r="G17" s="44">
        <f>F17-E17+1</f>
        <v>7</v>
      </c>
      <c r="H17" s="44" t="inlineStr">
        <is>
          <t>3.3</t>
        </is>
      </c>
      <c r="I17" s="44" t="inlineStr">
        <is>
          <t>✓ Selesai</t>
        </is>
      </c>
      <c r="J17" s="48">
        <f>IF(I17="✓ Selesai",1,0)</f>
        <v>1</v>
      </c>
      <c r="K17" s="44" t="n">
        <v>2</v>
      </c>
      <c r="L17" s="44" t="n">
        <v>3</v>
      </c>
      <c r="M17" s="44">
        <f>IF(I17="✓ Selesai",G17,0)</f>
        <v>7</v>
      </c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3" t="n"/>
      <c r="Z17" s="42" t="n"/>
      <c r="AA17" s="42" t="n"/>
      <c r="AB17" s="42" t="n"/>
      <c r="AC17" s="42" t="n"/>
      <c r="AD17" s="43" t="n"/>
    </row>
    <row r="18">
      <c r="A18" s="36" t="inlineStr">
        <is>
          <t>4</t>
        </is>
      </c>
      <c r="B18" s="37" t="inlineStr">
        <is>
          <t>Analisis Kebutuhan</t>
        </is>
      </c>
      <c r="C18" s="37" t="inlineStr">
        <is>
          <t>SRS</t>
        </is>
      </c>
      <c r="D18" s="38" t="inlineStr">
        <is>
          <t>SA (Rifki)</t>
        </is>
      </c>
      <c r="E18" s="39">
        <f>MIN(E19:E22)</f>
        <v>46321.0</v>
      </c>
      <c r="F18" s="39">
        <f>MAX(F19:F22)</f>
        <v>46334.0</v>
      </c>
      <c r="G18" s="36">
        <f>F18-E18+1</f>
        <v>14</v>
      </c>
      <c r="H18" s="36" t="inlineStr">
        <is>
          <t>3</t>
        </is>
      </c>
      <c r="I18" s="36" t="str">
        <f>IF(J18&gt;=1,"✓ Selesai",IF(COUNTIFS($L$5:$L$41,4,$I$5:$I$41,"Terlambat")&gt;0,"Terlambat",IF(OR(J18&gt;0,COUNTIFS($L$5:$L$41,4,$I$5:$I$41,"Berjalan")&gt;0),"Berjalan","Belum")))</f>
        <v>Belum</v>
      </c>
      <c r="J18" s="40">
        <f>IFERROR(SUMIFS($M$5:$M$41,$L$5:$L$41,4)/SUMIFS($G$5:$G$41,$L$5:$L$41,4),0)</f>
        <v>0</v>
      </c>
      <c r="K18" s="36" t="n">
        <v>1</v>
      </c>
      <c r="L18" s="41" t="n"/>
      <c r="M18" s="36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3" t="n"/>
      <c r="Z18" s="42" t="n"/>
      <c r="AA18" s="42" t="n"/>
      <c r="AB18" s="42" t="n"/>
      <c r="AC18" s="42" t="n"/>
      <c r="AD18" s="43" t="n"/>
    </row>
    <row r="19">
      <c r="A19" s="44" t="inlineStr">
        <is>
          <t>4.1</t>
        </is>
      </c>
      <c r="B19" s="45" t="inlineStr">
        <is>
          <t>Wawancara &amp; observasi lanjutan</t>
        </is>
      </c>
      <c r="C19" s="45" t="inlineStr">
        <is>
          <t>Catatan kebutuhan rinci</t>
        </is>
      </c>
      <c r="D19" s="46" t="inlineStr">
        <is>
          <t>SA (Rifki)</t>
        </is>
      </c>
      <c r="E19" s="47" t="n">
        <v>46321</v>
      </c>
      <c r="F19" s="47" t="n">
        <v>46325</v>
      </c>
      <c r="G19" s="44">
        <f>F19-E19+1</f>
        <v>5</v>
      </c>
      <c r="H19" s="44" t="inlineStr">
        <is>
          <t>3</t>
        </is>
      </c>
      <c r="I19" s="44" t="inlineStr">
        <is>
          <t>Belum</t>
        </is>
      </c>
      <c r="J19" s="48">
        <f>IF(I19="✓ Selesai",1,0)</f>
        <v>0</v>
      </c>
      <c r="K19" s="44" t="n">
        <v>2</v>
      </c>
      <c r="L19" s="44" t="n">
        <v>4</v>
      </c>
      <c r="M19" s="44">
        <f>IF(I19="✓ Selesai",G19,0)</f>
        <v>0</v>
      </c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3" t="n"/>
      <c r="Z19" s="42" t="n"/>
      <c r="AA19" s="42" t="n"/>
      <c r="AB19" s="42" t="n"/>
      <c r="AC19" s="42" t="n"/>
      <c r="AD19" s="43" t="n"/>
    </row>
    <row r="20">
      <c r="A20" s="44" t="inlineStr">
        <is>
          <t>4.2</t>
        </is>
      </c>
      <c r="B20" s="45" t="inlineStr">
        <is>
          <t>Spesifikasi kebutuhan fungsional &amp; non-fungsional</t>
        </is>
      </c>
      <c r="C20" s="45" t="inlineStr">
        <is>
          <t>Draf SRS</t>
        </is>
      </c>
      <c r="D20" s="46" t="inlineStr">
        <is>
          <t>SA (Rifki)</t>
        </is>
      </c>
      <c r="E20" s="47" t="n">
        <v>46326</v>
      </c>
      <c r="F20" s="47" t="n">
        <v>46331</v>
      </c>
      <c r="G20" s="44">
        <f>F20-E20+1</f>
        <v>6</v>
      </c>
      <c r="H20" s="44" t="inlineStr">
        <is>
          <t>4.1</t>
        </is>
      </c>
      <c r="I20" s="44" t="inlineStr">
        <is>
          <t>Belum</t>
        </is>
      </c>
      <c r="J20" s="48">
        <f>IF(I20="✓ Selesai",1,0)</f>
        <v>0</v>
      </c>
      <c r="K20" s="44" t="n">
        <v>2</v>
      </c>
      <c r="L20" s="44" t="n">
        <v>4</v>
      </c>
      <c r="M20" s="44">
        <f>IF(I20="✓ Selesai",G20,0)</f>
        <v>0</v>
      </c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3" t="n"/>
      <c r="Z20" s="42" t="n"/>
      <c r="AA20" s="42" t="n"/>
      <c r="AB20" s="42" t="n"/>
      <c r="AC20" s="42" t="n"/>
      <c r="AD20" s="43" t="n"/>
    </row>
    <row r="21">
      <c r="A21" s="44" t="inlineStr">
        <is>
          <t>4.3</t>
        </is>
      </c>
      <c r="B21" s="45" t="inlineStr">
        <is>
          <t>Use case &amp; skenario penggunaan</t>
        </is>
      </c>
      <c r="C21" s="45" t="inlineStr">
        <is>
          <t>Use case diagram, skenario</t>
        </is>
      </c>
      <c r="D21" s="46" t="inlineStr">
        <is>
          <t>SA (Rifki)</t>
        </is>
      </c>
      <c r="E21" s="47" t="n">
        <v>46329</v>
      </c>
      <c r="F21" s="47" t="n">
        <v>46331</v>
      </c>
      <c r="G21" s="44">
        <f>F21-E21+1</f>
        <v>3</v>
      </c>
      <c r="H21" s="44" t="inlineStr">
        <is>
          <t>4.1</t>
        </is>
      </c>
      <c r="I21" s="44" t="inlineStr">
        <is>
          <t>Belum</t>
        </is>
      </c>
      <c r="J21" s="48">
        <f>IF(I21="✓ Selesai",1,0)</f>
        <v>0</v>
      </c>
      <c r="K21" s="44" t="n">
        <v>2</v>
      </c>
      <c r="L21" s="44" t="n">
        <v>4</v>
      </c>
      <c r="M21" s="44">
        <f>IF(I21="✓ Selesai",G21,0)</f>
        <v>0</v>
      </c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3" t="n"/>
      <c r="Z21" s="42" t="n"/>
      <c r="AA21" s="42" t="n"/>
      <c r="AB21" s="42" t="n"/>
      <c r="AC21" s="42" t="n"/>
      <c r="AD21" s="43" t="n"/>
    </row>
    <row r="22">
      <c r="A22" s="44" t="inlineStr">
        <is>
          <t>4.4</t>
        </is>
      </c>
      <c r="B22" s="45" t="inlineStr">
        <is>
          <t>Review SRS &amp; persetujuan klien</t>
        </is>
      </c>
      <c r="C22" s="45" t="inlineStr">
        <is>
          <t>SRS final</t>
        </is>
      </c>
      <c r="D22" s="46" t="inlineStr">
        <is>
          <t>PM (Rico)</t>
        </is>
      </c>
      <c r="E22" s="47" t="n">
        <v>46332</v>
      </c>
      <c r="F22" s="47" t="n">
        <v>46334</v>
      </c>
      <c r="G22" s="44">
        <f>F22-E22+1</f>
        <v>3</v>
      </c>
      <c r="H22" s="44" t="inlineStr">
        <is>
          <t>4.2, 4.3</t>
        </is>
      </c>
      <c r="I22" s="44" t="inlineStr">
        <is>
          <t>Belum</t>
        </is>
      </c>
      <c r="J22" s="48">
        <f>IF(I22="✓ Selesai",1,0)</f>
        <v>0</v>
      </c>
      <c r="K22" s="44" t="n">
        <v>2</v>
      </c>
      <c r="L22" s="44" t="n">
        <v>4</v>
      </c>
      <c r="M22" s="44">
        <f>IF(I22="✓ Selesai",G22,0)</f>
        <v>0</v>
      </c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3" t="n"/>
      <c r="Z22" s="42" t="n"/>
      <c r="AA22" s="42" t="n"/>
      <c r="AB22" s="42" t="n"/>
      <c r="AC22" s="42" t="n"/>
      <c r="AD22" s="43" t="n"/>
    </row>
    <row r="23">
      <c r="A23" s="36" t="inlineStr">
        <is>
          <t>5</t>
        </is>
      </c>
      <c r="B23" s="37" t="inlineStr">
        <is>
          <t>Desain Sistem</t>
        </is>
      </c>
      <c r="C23" s="37" t="inlineStr">
        <is>
          <t>SDD, prototipe UI</t>
        </is>
      </c>
      <c r="D23" s="38" t="inlineStr">
        <is>
          <t>SD (Rifqi)</t>
        </is>
      </c>
      <c r="E23" s="39">
        <f>MIN(E24:E27)</f>
        <v>46335.0</v>
      </c>
      <c r="F23" s="39">
        <f>MAX(F24:F27)</f>
        <v>46348.0</v>
      </c>
      <c r="G23" s="36">
        <f>F23-E23+1</f>
        <v>14</v>
      </c>
      <c r="H23" s="36" t="inlineStr">
        <is>
          <t>4</t>
        </is>
      </c>
      <c r="I23" s="36" t="str">
        <f>IF(J23&gt;=1,"✓ Selesai",IF(COUNTIFS($L$5:$L$41,5,$I$5:$I$41,"Terlambat")&gt;0,"Terlambat",IF(OR(J23&gt;0,COUNTIFS($L$5:$L$41,5,$I$5:$I$41,"Berjalan")&gt;0),"Berjalan","Belum")))</f>
        <v>Belum</v>
      </c>
      <c r="J23" s="40">
        <f>IFERROR(SUMIFS($M$5:$M$41,$L$5:$L$41,5)/SUMIFS($G$5:$G$41,$L$5:$L$41,5),0)</f>
        <v>0</v>
      </c>
      <c r="K23" s="36" t="n">
        <v>1</v>
      </c>
      <c r="L23" s="41" t="n"/>
      <c r="M23" s="36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3" t="n"/>
      <c r="Z23" s="42" t="n"/>
      <c r="AA23" s="42" t="n"/>
      <c r="AB23" s="42" t="n"/>
      <c r="AC23" s="42" t="n"/>
      <c r="AD23" s="43" t="n"/>
    </row>
    <row r="24">
      <c r="A24" s="44" t="inlineStr">
        <is>
          <t>5.1</t>
        </is>
      </c>
      <c r="B24" s="45" t="inlineStr">
        <is>
          <t>Perancangan arsitektur &amp; basis data (ERD)</t>
        </is>
      </c>
      <c r="C24" s="45" t="inlineStr">
        <is>
          <t>Arsitektur, ERD</t>
        </is>
      </c>
      <c r="D24" s="46" t="inlineStr">
        <is>
          <t>SD (Rifqi)</t>
        </is>
      </c>
      <c r="E24" s="47" t="n">
        <v>46335</v>
      </c>
      <c r="F24" s="47" t="n">
        <v>46339</v>
      </c>
      <c r="G24" s="44">
        <f>F24-E24+1</f>
        <v>5</v>
      </c>
      <c r="H24" s="44" t="inlineStr">
        <is>
          <t>4</t>
        </is>
      </c>
      <c r="I24" s="44" t="inlineStr">
        <is>
          <t>Belum</t>
        </is>
      </c>
      <c r="J24" s="48">
        <f>IF(I24="✓ Selesai",1,0)</f>
        <v>0</v>
      </c>
      <c r="K24" s="44" t="n">
        <v>2</v>
      </c>
      <c r="L24" s="44" t="n">
        <v>5</v>
      </c>
      <c r="M24" s="44">
        <f>IF(I24="✓ Selesai",G24,0)</f>
        <v>0</v>
      </c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3" t="n"/>
      <c r="Z24" s="42" t="n"/>
      <c r="AA24" s="42" t="n"/>
      <c r="AB24" s="42" t="n"/>
      <c r="AC24" s="42" t="n"/>
      <c r="AD24" s="43" t="n"/>
    </row>
    <row r="25">
      <c r="A25" s="44" t="inlineStr">
        <is>
          <t>5.2</t>
        </is>
      </c>
      <c r="B25" s="45" t="inlineStr">
        <is>
          <t>Wireframe &amp; prototipe UI</t>
        </is>
      </c>
      <c r="C25" s="45" t="inlineStr">
        <is>
          <t>Wireframe, prototipe Figma</t>
        </is>
      </c>
      <c r="D25" s="46" t="inlineStr">
        <is>
          <t>SD (Rifqi)</t>
        </is>
      </c>
      <c r="E25" s="47" t="n">
        <v>46337</v>
      </c>
      <c r="F25" s="47" t="n">
        <v>46345</v>
      </c>
      <c r="G25" s="44">
        <f>F25-E25+1</f>
        <v>9</v>
      </c>
      <c r="H25" s="44" t="inlineStr">
        <is>
          <t>4</t>
        </is>
      </c>
      <c r="I25" s="44" t="inlineStr">
        <is>
          <t>Belum</t>
        </is>
      </c>
      <c r="J25" s="48">
        <f>IF(I25="✓ Selesai",1,0)</f>
        <v>0</v>
      </c>
      <c r="K25" s="44" t="n">
        <v>2</v>
      </c>
      <c r="L25" s="44" t="n">
        <v>5</v>
      </c>
      <c r="M25" s="44">
        <f>IF(I25="✓ Selesai",G25,0)</f>
        <v>0</v>
      </c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3" t="n"/>
      <c r="Z25" s="42" t="n"/>
      <c r="AA25" s="42" t="n"/>
      <c r="AB25" s="42" t="n"/>
      <c r="AC25" s="42" t="n"/>
      <c r="AD25" s="43" t="n"/>
    </row>
    <row r="26">
      <c r="A26" s="44" t="inlineStr">
        <is>
          <t>5.3</t>
        </is>
      </c>
      <c r="B26" s="45" t="inlineStr">
        <is>
          <t>Spesifikasi integrasi RajaOngkir &amp; Midtrans</t>
        </is>
      </c>
      <c r="C26" s="45" t="inlineStr">
        <is>
          <t>Spesifikasi API</t>
        </is>
      </c>
      <c r="D26" s="46" t="inlineStr">
        <is>
          <t>Programmer (Ricardo)</t>
        </is>
      </c>
      <c r="E26" s="47" t="n">
        <v>46335</v>
      </c>
      <c r="F26" s="47" t="n">
        <v>46340</v>
      </c>
      <c r="G26" s="44">
        <f>F26-E26+1</f>
        <v>6</v>
      </c>
      <c r="H26" s="44" t="inlineStr">
        <is>
          <t>4</t>
        </is>
      </c>
      <c r="I26" s="44" t="inlineStr">
        <is>
          <t>Belum</t>
        </is>
      </c>
      <c r="J26" s="48">
        <f>IF(I26="✓ Selesai",1,0)</f>
        <v>0</v>
      </c>
      <c r="K26" s="44" t="n">
        <v>2</v>
      </c>
      <c r="L26" s="44" t="n">
        <v>5</v>
      </c>
      <c r="M26" s="44">
        <f>IF(I26="✓ Selesai",G26,0)</f>
        <v>0</v>
      </c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3" t="n"/>
      <c r="Z26" s="42" t="n"/>
      <c r="AA26" s="42" t="n"/>
      <c r="AB26" s="42" t="n"/>
      <c r="AC26" s="42" t="n"/>
      <c r="AD26" s="43" t="n"/>
    </row>
    <row r="27">
      <c r="A27" s="44" t="inlineStr">
        <is>
          <t>5.4</t>
        </is>
      </c>
      <c r="B27" s="45" t="inlineStr">
        <is>
          <t>Persetujuan prototipe klien &amp; SDD</t>
        </is>
      </c>
      <c r="C27" s="45" t="inlineStr">
        <is>
          <t>SDD final, persetujuan prototipe</t>
        </is>
      </c>
      <c r="D27" s="46" t="inlineStr">
        <is>
          <t>PM (Rico)</t>
        </is>
      </c>
      <c r="E27" s="47" t="n">
        <v>46345</v>
      </c>
      <c r="F27" s="47" t="n">
        <v>46348</v>
      </c>
      <c r="G27" s="44">
        <f>F27-E27+1</f>
        <v>4</v>
      </c>
      <c r="H27" s="44" t="inlineStr">
        <is>
          <t>5.1, 5.2, 5.3</t>
        </is>
      </c>
      <c r="I27" s="44" t="inlineStr">
        <is>
          <t>Belum</t>
        </is>
      </c>
      <c r="J27" s="48">
        <f>IF(I27="✓ Selesai",1,0)</f>
        <v>0</v>
      </c>
      <c r="K27" s="44" t="n">
        <v>2</v>
      </c>
      <c r="L27" s="44" t="n">
        <v>5</v>
      </c>
      <c r="M27" s="44">
        <f>IF(I27="✓ Selesai",G27,0)</f>
        <v>0</v>
      </c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3" t="n"/>
      <c r="Z27" s="42" t="n"/>
      <c r="AA27" s="42" t="n"/>
      <c r="AB27" s="42" t="n"/>
      <c r="AC27" s="42" t="n"/>
      <c r="AD27" s="43" t="n"/>
    </row>
    <row r="28">
      <c r="A28" s="36" t="inlineStr">
        <is>
          <t>6</t>
        </is>
      </c>
      <c r="B28" s="37" t="inlineStr">
        <is>
          <t>Pemrograman</t>
        </is>
      </c>
      <c r="C28" s="37" t="inlineStr">
        <is>
          <t>Aplikasi, dok. implementasi</t>
        </is>
      </c>
      <c r="D28" s="38" t="inlineStr">
        <is>
          <t>Programmer (Ricardo)</t>
        </is>
      </c>
      <c r="E28" s="39">
        <f>MIN(E29:E32)</f>
        <v>46349.0</v>
      </c>
      <c r="F28" s="39">
        <f>MAX(F29:F32)</f>
        <v>46376.0</v>
      </c>
      <c r="G28" s="36">
        <f>F28-E28+1</f>
        <v>28</v>
      </c>
      <c r="H28" s="36" t="inlineStr">
        <is>
          <t>5</t>
        </is>
      </c>
      <c r="I28" s="36" t="str">
        <f>IF(J28&gt;=1,"✓ Selesai",IF(COUNTIFS($L$5:$L$41,6,$I$5:$I$41,"Terlambat")&gt;0,"Terlambat",IF(OR(J28&gt;0,COUNTIFS($L$5:$L$41,6,$I$5:$I$41,"Berjalan")&gt;0),"Berjalan","Belum")))</f>
        <v>Belum</v>
      </c>
      <c r="J28" s="40">
        <f>IFERROR(SUMIFS($M$5:$M$41,$L$5:$L$41,6)/SUMIFS($G$5:$G$41,$L$5:$L$41,6),0)</f>
        <v>0</v>
      </c>
      <c r="K28" s="36" t="n">
        <v>1</v>
      </c>
      <c r="L28" s="41" t="n"/>
      <c r="M28" s="36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3" t="n"/>
      <c r="Z28" s="42" t="n"/>
      <c r="AA28" s="42" t="n"/>
      <c r="AB28" s="42" t="n"/>
      <c r="AC28" s="42" t="n"/>
      <c r="AD28" s="43" t="n"/>
    </row>
    <row r="29">
      <c r="A29" s="44" t="inlineStr">
        <is>
          <t>6.1</t>
        </is>
      </c>
      <c r="B29" s="45" t="inlineStr">
        <is>
          <t>Modul 1: autentikasi, produk &amp; katalog</t>
        </is>
      </c>
      <c r="C29" s="45" t="inlineStr">
        <is>
          <t>Modul berjalan + demo (M5)</t>
        </is>
      </c>
      <c r="D29" s="46" t="inlineStr">
        <is>
          <t>Programmer (Ricardo)</t>
        </is>
      </c>
      <c r="E29" s="47" t="n">
        <v>46349</v>
      </c>
      <c r="F29" s="47" t="n">
        <v>46355</v>
      </c>
      <c r="G29" s="44">
        <f>F29-E29+1</f>
        <v>7</v>
      </c>
      <c r="H29" s="44" t="inlineStr">
        <is>
          <t>5</t>
        </is>
      </c>
      <c r="I29" s="44" t="inlineStr">
        <is>
          <t>Belum</t>
        </is>
      </c>
      <c r="J29" s="48">
        <f>IF(I29="✓ Selesai",1,0)</f>
        <v>0</v>
      </c>
      <c r="K29" s="44" t="n">
        <v>2</v>
      </c>
      <c r="L29" s="44" t="n">
        <v>6</v>
      </c>
      <c r="M29" s="44">
        <f>IF(I29="✓ Selesai",G29,0)</f>
        <v>0</v>
      </c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3" t="n"/>
      <c r="Z29" s="42" t="n"/>
      <c r="AA29" s="42" t="n"/>
      <c r="AB29" s="42" t="n"/>
      <c r="AC29" s="42" t="n"/>
      <c r="AD29" s="43" t="n"/>
    </row>
    <row r="30">
      <c r="A30" s="44" t="inlineStr">
        <is>
          <t>6.2</t>
        </is>
      </c>
      <c r="B30" s="45" t="inlineStr">
        <is>
          <t>Modul 2: keranjang, checkout, ongkir, pembayaran</t>
        </is>
      </c>
      <c r="C30" s="45" t="inlineStr">
        <is>
          <t>Modul berjalan + demo (M6)</t>
        </is>
      </c>
      <c r="D30" s="46" t="inlineStr">
        <is>
          <t>Programmer (Ricardo)</t>
        </is>
      </c>
      <c r="E30" s="47" t="n">
        <v>46356</v>
      </c>
      <c r="F30" s="47" t="n">
        <v>46362</v>
      </c>
      <c r="G30" s="44">
        <f>F30-E30+1</f>
        <v>7</v>
      </c>
      <c r="H30" s="44" t="inlineStr">
        <is>
          <t>6.1</t>
        </is>
      </c>
      <c r="I30" s="44" t="inlineStr">
        <is>
          <t>Belum</t>
        </is>
      </c>
      <c r="J30" s="48">
        <f>IF(I30="✓ Selesai",1,0)</f>
        <v>0</v>
      </c>
      <c r="K30" s="44" t="n">
        <v>2</v>
      </c>
      <c r="L30" s="44" t="n">
        <v>6</v>
      </c>
      <c r="M30" s="44">
        <f>IF(I30="✓ Selesai",G30,0)</f>
        <v>0</v>
      </c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3" t="n"/>
      <c r="Z30" s="42" t="n"/>
      <c r="AA30" s="42" t="n"/>
      <c r="AB30" s="42" t="n"/>
      <c r="AC30" s="42" t="n"/>
      <c r="AD30" s="43" t="n"/>
    </row>
    <row r="31">
      <c r="A31" s="44" t="inlineStr">
        <is>
          <t>6.3</t>
        </is>
      </c>
      <c r="B31" s="45" t="inlineStr">
        <is>
          <t>Modul 3: admin (produk, stok, pesanan), ulasan, halaman info</t>
        </is>
      </c>
      <c r="C31" s="45" t="inlineStr">
        <is>
          <t>Aplikasi lengkap + demo (M7)</t>
        </is>
      </c>
      <c r="D31" s="46" t="inlineStr">
        <is>
          <t>Programmer (Ricardo)</t>
        </is>
      </c>
      <c r="E31" s="47" t="n">
        <v>46370</v>
      </c>
      <c r="F31" s="47" t="n">
        <v>46376</v>
      </c>
      <c r="G31" s="44">
        <f>F31-E31+1</f>
        <v>7</v>
      </c>
      <c r="H31" s="44" t="inlineStr">
        <is>
          <t>6.2</t>
        </is>
      </c>
      <c r="I31" s="44" t="inlineStr">
        <is>
          <t>Belum</t>
        </is>
      </c>
      <c r="J31" s="48">
        <f>IF(I31="✓ Selesai",1,0)</f>
        <v>0</v>
      </c>
      <c r="K31" s="44" t="n">
        <v>2</v>
      </c>
      <c r="L31" s="44" t="n">
        <v>6</v>
      </c>
      <c r="M31" s="44">
        <f>IF(I31="✓ Selesai",G31,0)</f>
        <v>0</v>
      </c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3" t="n"/>
      <c r="Z31" s="42" t="n"/>
      <c r="AA31" s="42" t="n"/>
      <c r="AB31" s="42" t="n"/>
      <c r="AC31" s="42" t="n"/>
      <c r="AD31" s="43" t="n"/>
    </row>
    <row r="32">
      <c r="A32" s="44" t="inlineStr">
        <is>
          <t>6.4</t>
        </is>
      </c>
      <c r="B32" s="45" t="inlineStr">
        <is>
          <t>Dokumen implementasi</t>
        </is>
      </c>
      <c r="C32" s="45" t="inlineStr">
        <is>
          <t>Dokumen implementasi</t>
        </is>
      </c>
      <c r="D32" s="46" t="inlineStr">
        <is>
          <t>Programmer (Ricardo)</t>
        </is>
      </c>
      <c r="E32" s="47" t="n">
        <v>46373</v>
      </c>
      <c r="F32" s="47" t="n">
        <v>46376</v>
      </c>
      <c r="G32" s="44">
        <f>F32-E32+1</f>
        <v>4</v>
      </c>
      <c r="H32" s="44" t="inlineStr">
        <is>
          <t>6.2</t>
        </is>
      </c>
      <c r="I32" s="44" t="inlineStr">
        <is>
          <t>Belum</t>
        </is>
      </c>
      <c r="J32" s="48">
        <f>IF(I32="✓ Selesai",1,0)</f>
        <v>0</v>
      </c>
      <c r="K32" s="44" t="n">
        <v>2</v>
      </c>
      <c r="L32" s="44" t="n">
        <v>6</v>
      </c>
      <c r="M32" s="44">
        <f>IF(I32="✓ Selesai",G32,0)</f>
        <v>0</v>
      </c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3" t="n"/>
      <c r="Z32" s="42" t="n"/>
      <c r="AA32" s="42" t="n"/>
      <c r="AB32" s="42" t="n"/>
      <c r="AC32" s="42" t="n"/>
      <c r="AD32" s="43" t="n"/>
    </row>
    <row r="33">
      <c r="A33" s="36" t="inlineStr">
        <is>
          <t>7</t>
        </is>
      </c>
      <c r="B33" s="37" t="inlineStr">
        <is>
          <t>Pengujian</t>
        </is>
      </c>
      <c r="C33" s="37" t="inlineStr">
        <is>
          <t>Skenario uji &amp; UAT</t>
        </is>
      </c>
      <c r="D33" s="38" t="inlineStr">
        <is>
          <t>Tester (Rifki)</t>
        </is>
      </c>
      <c r="E33" s="39">
        <f>MIN(E34:E36)</f>
        <v>46377.0</v>
      </c>
      <c r="F33" s="39">
        <f>MAX(F34:F36)</f>
        <v>46383.0</v>
      </c>
      <c r="G33" s="36">
        <f>F33-E33+1</f>
        <v>7</v>
      </c>
      <c r="H33" s="36" t="inlineStr">
        <is>
          <t>6</t>
        </is>
      </c>
      <c r="I33" s="36" t="str">
        <f>IF(J33&gt;=1,"✓ Selesai",IF(COUNTIFS($L$5:$L$41,7,$I$5:$I$41,"Terlambat")&gt;0,"Terlambat",IF(OR(J33&gt;0,COUNTIFS($L$5:$L$41,7,$I$5:$I$41,"Berjalan")&gt;0),"Berjalan","Belum")))</f>
        <v>Belum</v>
      </c>
      <c r="J33" s="40">
        <f>IFERROR(SUMIFS($M$5:$M$41,$L$5:$L$41,7)/SUMIFS($G$5:$G$41,$L$5:$L$41,7),0)</f>
        <v>0</v>
      </c>
      <c r="K33" s="36" t="n">
        <v>1</v>
      </c>
      <c r="L33" s="41" t="n"/>
      <c r="M33" s="36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3" t="n"/>
      <c r="Z33" s="42" t="n"/>
      <c r="AA33" s="42" t="n"/>
      <c r="AB33" s="42" t="n"/>
      <c r="AC33" s="42" t="n"/>
      <c r="AD33" s="43" t="n"/>
    </row>
    <row r="34">
      <c r="A34" s="44" t="inlineStr">
        <is>
          <t>7.1</t>
        </is>
      </c>
      <c r="B34" s="45" t="inlineStr">
        <is>
          <t>Pengujian modul &amp; integrasi</t>
        </is>
      </c>
      <c r="C34" s="45" t="inlineStr">
        <is>
          <t>Hasil uji modul &amp; integrasi</t>
        </is>
      </c>
      <c r="D34" s="46" t="inlineStr">
        <is>
          <t>Tester (Rifki)</t>
        </is>
      </c>
      <c r="E34" s="47" t="n">
        <v>46377</v>
      </c>
      <c r="F34" s="47" t="n">
        <v>46380</v>
      </c>
      <c r="G34" s="44">
        <f>F34-E34+1</f>
        <v>4</v>
      </c>
      <c r="H34" s="44" t="inlineStr">
        <is>
          <t>6</t>
        </is>
      </c>
      <c r="I34" s="44" t="inlineStr">
        <is>
          <t>Belum</t>
        </is>
      </c>
      <c r="J34" s="48">
        <f>IF(I34="✓ Selesai",1,0)</f>
        <v>0</v>
      </c>
      <c r="K34" s="44" t="n">
        <v>2</v>
      </c>
      <c r="L34" s="44" t="n">
        <v>7</v>
      </c>
      <c r="M34" s="44">
        <f>IF(I34="✓ Selesai",G34,0)</f>
        <v>0</v>
      </c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3" t="n"/>
      <c r="Z34" s="42" t="n"/>
      <c r="AA34" s="42" t="n"/>
      <c r="AB34" s="42" t="n"/>
      <c r="AC34" s="42" t="n"/>
      <c r="AD34" s="43" t="n"/>
    </row>
    <row r="35">
      <c r="A35" s="44" t="inlineStr">
        <is>
          <t>7.2</t>
        </is>
      </c>
      <c r="B35" s="45" t="inlineStr">
        <is>
          <t>UAT bersama klien</t>
        </is>
      </c>
      <c r="C35" s="45" t="inlineStr">
        <is>
          <t>Hasil UAT</t>
        </is>
      </c>
      <c r="D35" s="46" t="inlineStr">
        <is>
          <t>Tester (Rifki)</t>
        </is>
      </c>
      <c r="E35" s="47" t="n">
        <v>46381</v>
      </c>
      <c r="F35" s="47" t="n">
        <v>46383</v>
      </c>
      <c r="G35" s="44">
        <f>F35-E35+1</f>
        <v>3</v>
      </c>
      <c r="H35" s="44" t="inlineStr">
        <is>
          <t>7.1</t>
        </is>
      </c>
      <c r="I35" s="44" t="inlineStr">
        <is>
          <t>Belum</t>
        </is>
      </c>
      <c r="J35" s="48">
        <f>IF(I35="✓ Selesai",1,0)</f>
        <v>0</v>
      </c>
      <c r="K35" s="44" t="n">
        <v>2</v>
      </c>
      <c r="L35" s="44" t="n">
        <v>7</v>
      </c>
      <c r="M35" s="44">
        <f>IF(I35="✓ Selesai",G35,0)</f>
        <v>0</v>
      </c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3" t="n"/>
      <c r="Z35" s="42" t="n"/>
      <c r="AA35" s="42" t="n"/>
      <c r="AB35" s="42" t="n"/>
      <c r="AC35" s="42" t="n"/>
      <c r="AD35" s="43" t="n"/>
    </row>
    <row r="36">
      <c r="A36" s="44" t="inlineStr">
        <is>
          <t>7.3</t>
        </is>
      </c>
      <c r="B36" s="45" t="inlineStr">
        <is>
          <t>Perbaikan bug</t>
        </is>
      </c>
      <c r="C36" s="45" t="inlineStr">
        <is>
          <t>Catatan perbaikan</t>
        </is>
      </c>
      <c r="D36" s="46" t="inlineStr">
        <is>
          <t>Programmer (Ricardo)</t>
        </is>
      </c>
      <c r="E36" s="47" t="n">
        <v>46380</v>
      </c>
      <c r="F36" s="47" t="n">
        <v>46383</v>
      </c>
      <c r="G36" s="44">
        <f>F36-E36+1</f>
        <v>4</v>
      </c>
      <c r="H36" s="44" t="inlineStr">
        <is>
          <t>7.1</t>
        </is>
      </c>
      <c r="I36" s="44" t="inlineStr">
        <is>
          <t>Belum</t>
        </is>
      </c>
      <c r="J36" s="48">
        <f>IF(I36="✓ Selesai",1,0)</f>
        <v>0</v>
      </c>
      <c r="K36" s="44" t="n">
        <v>2</v>
      </c>
      <c r="L36" s="44" t="n">
        <v>7</v>
      </c>
      <c r="M36" s="44">
        <f>IF(I36="✓ Selesai",G36,0)</f>
        <v>0</v>
      </c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3" t="n"/>
      <c r="Z36" s="42" t="n"/>
      <c r="AA36" s="42" t="n"/>
      <c r="AB36" s="42" t="n"/>
      <c r="AC36" s="42" t="n"/>
      <c r="AD36" s="43" t="n"/>
    </row>
    <row r="37">
      <c r="A37" s="36" t="inlineStr">
        <is>
          <t>8</t>
        </is>
      </c>
      <c r="B37" s="37" t="inlineStr">
        <is>
          <t>Penerapan</t>
        </is>
      </c>
      <c r="C37" s="37" t="inlineStr">
        <is>
          <t>User manual, BAST, laporan</t>
        </is>
      </c>
      <c r="D37" s="38" t="inlineStr">
        <is>
          <t>Tech Writer (Rifqi)</t>
        </is>
      </c>
      <c r="E37" s="39">
        <f>MIN(E38:E41)</f>
        <v>46384.0</v>
      </c>
      <c r="F37" s="39">
        <f>MAX(F38:F41)</f>
        <v>46397.0</v>
      </c>
      <c r="G37" s="36">
        <f>F37-E37+1</f>
        <v>14</v>
      </c>
      <c r="H37" s="36" t="inlineStr">
        <is>
          <t>7</t>
        </is>
      </c>
      <c r="I37" s="36" t="str">
        <f>IF(J37&gt;=1,"✓ Selesai",IF(COUNTIFS($L$5:$L$41,8,$I$5:$I$41,"Terlambat")&gt;0,"Terlambat",IF(OR(J37&gt;0,COUNTIFS($L$5:$L$41,8,$I$5:$I$41,"Berjalan")&gt;0),"Berjalan","Belum")))</f>
        <v>Belum</v>
      </c>
      <c r="J37" s="40">
        <f>IFERROR(SUMIFS($M$5:$M$41,$L$5:$L$41,8)/SUMIFS($G$5:$G$41,$L$5:$L$41,8),0)</f>
        <v>0</v>
      </c>
      <c r="K37" s="36" t="n">
        <v>1</v>
      </c>
      <c r="L37" s="41" t="n"/>
      <c r="M37" s="36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3" t="n"/>
      <c r="Z37" s="42" t="n"/>
      <c r="AA37" s="42" t="n"/>
      <c r="AB37" s="42" t="n"/>
      <c r="AC37" s="42" t="n"/>
      <c r="AD37" s="43" t="n"/>
    </row>
    <row r="38">
      <c r="A38" s="44" t="inlineStr">
        <is>
          <t>8.1</t>
        </is>
      </c>
      <c r="B38" s="45" t="inlineStr">
        <is>
          <t>Deploy final &amp; konfigurasi domain/hosting</t>
        </is>
      </c>
      <c r="C38" s="45" t="inlineStr">
        <is>
          <t>Website live</t>
        </is>
      </c>
      <c r="D38" s="46" t="inlineStr">
        <is>
          <t>Programmer (Ricardo)</t>
        </is>
      </c>
      <c r="E38" s="47" t="n">
        <v>46384</v>
      </c>
      <c r="F38" s="47" t="n">
        <v>46388</v>
      </c>
      <c r="G38" s="44">
        <f>F38-E38+1</f>
        <v>5</v>
      </c>
      <c r="H38" s="44" t="inlineStr">
        <is>
          <t>7</t>
        </is>
      </c>
      <c r="I38" s="44" t="inlineStr">
        <is>
          <t>Belum</t>
        </is>
      </c>
      <c r="J38" s="48">
        <f>IF(I38="✓ Selesai",1,0)</f>
        <v>0</v>
      </c>
      <c r="K38" s="44" t="n">
        <v>2</v>
      </c>
      <c r="L38" s="44" t="n">
        <v>8</v>
      </c>
      <c r="M38" s="44">
        <f>IF(I38="✓ Selesai",G38,0)</f>
        <v>0</v>
      </c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3" t="n"/>
      <c r="Z38" s="42" t="n"/>
      <c r="AA38" s="42" t="n"/>
      <c r="AB38" s="42" t="n"/>
      <c r="AC38" s="42" t="n"/>
      <c r="AD38" s="43" t="n"/>
    </row>
    <row r="39">
      <c r="A39" s="44" t="inlineStr">
        <is>
          <t>8.2</t>
        </is>
      </c>
      <c r="B39" s="45" t="inlineStr">
        <is>
          <t>Penyusunan user manual</t>
        </is>
      </c>
      <c r="C39" s="45" t="inlineStr">
        <is>
          <t>User manual</t>
        </is>
      </c>
      <c r="D39" s="46" t="inlineStr">
        <is>
          <t>Tech Writer (Rifqi)</t>
        </is>
      </c>
      <c r="E39" s="47" t="n">
        <v>46384</v>
      </c>
      <c r="F39" s="47" t="n">
        <v>46390</v>
      </c>
      <c r="G39" s="44">
        <f>F39-E39+1</f>
        <v>7</v>
      </c>
      <c r="H39" s="44" t="inlineStr">
        <is>
          <t>7</t>
        </is>
      </c>
      <c r="I39" s="44" t="inlineStr">
        <is>
          <t>Belum</t>
        </is>
      </c>
      <c r="J39" s="48">
        <f>IF(I39="✓ Selesai",1,0)</f>
        <v>0</v>
      </c>
      <c r="K39" s="44" t="n">
        <v>2</v>
      </c>
      <c r="L39" s="44" t="n">
        <v>8</v>
      </c>
      <c r="M39" s="44">
        <f>IF(I39="✓ Selesai",G39,0)</f>
        <v>0</v>
      </c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3" t="n"/>
      <c r="Z39" s="42" t="n"/>
      <c r="AA39" s="42" t="n"/>
      <c r="AB39" s="42" t="n"/>
      <c r="AC39" s="42" t="n"/>
      <c r="AD39" s="43" t="n"/>
    </row>
    <row r="40">
      <c r="A40" s="44" t="inlineStr">
        <is>
          <t>8.3</t>
        </is>
      </c>
      <c r="B40" s="45" t="inlineStr">
        <is>
          <t>Pelatihan pengguna</t>
        </is>
      </c>
      <c r="C40" s="45" t="inlineStr">
        <is>
          <t>Pelatihan 2 sesi</t>
        </is>
      </c>
      <c r="D40" s="46" t="inlineStr">
        <is>
          <t>PM (Rico)</t>
        </is>
      </c>
      <c r="E40" s="47" t="n">
        <v>46391</v>
      </c>
      <c r="F40" s="47" t="n">
        <v>46394</v>
      </c>
      <c r="G40" s="44">
        <f>F40-E40+1</f>
        <v>4</v>
      </c>
      <c r="H40" s="44" t="inlineStr">
        <is>
          <t>8.1, 8.2</t>
        </is>
      </c>
      <c r="I40" s="44" t="inlineStr">
        <is>
          <t>Belum</t>
        </is>
      </c>
      <c r="J40" s="48">
        <f>IF(I40="✓ Selesai",1,0)</f>
        <v>0</v>
      </c>
      <c r="K40" s="44" t="n">
        <v>2</v>
      </c>
      <c r="L40" s="44" t="n">
        <v>8</v>
      </c>
      <c r="M40" s="44">
        <f>IF(I40="✓ Selesai",G40,0)</f>
        <v>0</v>
      </c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3" t="n"/>
      <c r="Z40" s="42" t="n"/>
      <c r="AA40" s="42" t="n"/>
      <c r="AB40" s="42" t="n"/>
      <c r="AC40" s="42" t="n"/>
      <c r="AD40" s="43" t="n"/>
    </row>
    <row r="41">
      <c r="A41" s="44" t="inlineStr">
        <is>
          <t>8.4</t>
        </is>
      </c>
      <c r="B41" s="45" t="inlineStr">
        <is>
          <t>BAST &amp; laporan akhir</t>
        </is>
      </c>
      <c r="C41" s="45" t="inlineStr">
        <is>
          <t>BAST, laporan akhir</t>
        </is>
      </c>
      <c r="D41" s="46" t="inlineStr">
        <is>
          <t>PM (Rico)</t>
        </is>
      </c>
      <c r="E41" s="47" t="n">
        <v>46394</v>
      </c>
      <c r="F41" s="47" t="n">
        <v>46397</v>
      </c>
      <c r="G41" s="44">
        <f>F41-E41+1</f>
        <v>4</v>
      </c>
      <c r="H41" s="44" t="inlineStr">
        <is>
          <t>8.3</t>
        </is>
      </c>
      <c r="I41" s="44" t="inlineStr">
        <is>
          <t>Belum</t>
        </is>
      </c>
      <c r="J41" s="48">
        <f>IF(I41="✓ Selesai",1,0)</f>
        <v>0</v>
      </c>
      <c r="K41" s="44" t="n">
        <v>2</v>
      </c>
      <c r="L41" s="44" t="n">
        <v>8</v>
      </c>
      <c r="M41" s="44">
        <f>IF(I41="✓ Selesai",G41,0)</f>
        <v>0</v>
      </c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3" t="n"/>
      <c r="Z41" s="42" t="n"/>
      <c r="AA41" s="42" t="n"/>
      <c r="AB41" s="42" t="n"/>
      <c r="AC41" s="42" t="n"/>
      <c r="AD41" s="43" t="n"/>
    </row>
    <row r="43">
      <c r="A43" s="49" t="inlineStr">
        <is>
          <t>Legenda: hitam-biru = fase, hijau = selesai, biru tua = berjalan, biru muda = belum, merah = terlambat, oranye = revisi. Kuning = Mg 11 (UTS) &amp; Mg 16 (UAS).</t>
        </is>
      </c>
    </row>
    <row r="44">
      <c r="A44" s="49" t="inlineStr">
        <is>
          <t>Catatan: tanggal fase mengikuti Dokumen 01 Bag. II bab 6.1; tanggal per paket kerja adalah penjabaran dalam rentang fase tsb (durasi mengikuti kamus WBS bab 5.2).</t>
        </is>
      </c>
    </row>
    <row r="45">
      <c r="A45" s="50" t="inlineStr">
        <is>
          <t>Hari libur: UAT (7.2, 25-27 Des) melewati Natal 25 Des dan Deploy (8.1, 28 Des-1 Jan) melewati Tahun Baru 1 Jan; pekerjaan memakai hari kerja yang tersisa.</t>
        </is>
      </c>
    </row>
  </sheetData>
  <conditionalFormatting sqref="O5:AD41">
    <cfRule type="expression" priority="1" dxfId="0" stopIfTrue="1">
      <formula>AND($K5=1,$E5&lt;=O$3+6,$F5&gt;=O$3)</formula>
    </cfRule>
    <cfRule type="expression" priority="2" dxfId="1" stopIfTrue="1">
      <formula>AND($K5=2,$E5&lt;=O$3+6,$F5&gt;=O$3,$I5="✓ Selesai")</formula>
    </cfRule>
    <cfRule type="expression" priority="3" dxfId="2" stopIfTrue="1">
      <formula>AND($K5=2,$E5&lt;=O$3+6,$F5&gt;=O$3,$I5="Terlambat")</formula>
    </cfRule>
    <cfRule type="expression" priority="4" dxfId="3" stopIfTrue="1">
      <formula>AND($K5=2,$E5&lt;=O$3+6,$F5&gt;=O$3,$I5="Revisi")</formula>
    </cfRule>
    <cfRule type="expression" priority="5" dxfId="4" stopIfTrue="1">
      <formula>AND($K5=2,$E5&lt;=O$3+6,$F5&gt;=O$3,$I5="Berjalan")</formula>
    </cfRule>
    <cfRule type="expression" priority="6" dxfId="5" stopIfTrue="1">
      <formula>AND($K5=2,$E5&lt;=O$3+6,$F5&gt;=O$3)</formula>
    </cfRule>
  </conditionalFormatting>
  <conditionalFormatting sqref="I5:I41">
    <cfRule type="expression" priority="7" dxfId="6">
      <formula>$I5="✓ Selesai"</formula>
    </cfRule>
    <cfRule type="expression" priority="8" dxfId="7">
      <formula>$I5="Berjalan"</formula>
    </cfRule>
    <cfRule type="expression" priority="9" dxfId="8">
      <formula>$I5="Terlambat"</formula>
    </cfRule>
    <cfRule type="expression" priority="10" dxfId="9">
      <formula>$I5="Revisi"</formula>
    </cfRule>
  </conditionalFormatting>
  <conditionalFormatting sqref="O4:AD4">
    <cfRule type="expression" priority="11" dxfId="10">
      <formula>AND(TODAY()&gt;=O$3,TODAY()&lt;O$3+7)</formula>
    </cfRule>
  </conditionalFormatting>
  <dataValidations count="1">
    <dataValidation sqref="I6 I7 I8 I10 I11 I12 I14 I15 I16 I17 I19 I20 I21 I22 I24 I25 I26 I27 I29 I30 I31 I32 I34 I35 I36 I38 I39 I40 I41" showDropDown="0" showInputMessage="0" showErrorMessage="0" allowBlank="1" type="list">
      <formula1>"✓ Selesai,Berjalan,Belum,Terlambat,Revisi"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30" customWidth="1" min="3" max="3"/>
    <col width="4" customWidth="1" min="4" max="4"/>
    <col width="58" customWidth="1" min="5" max="5"/>
    <col width="22" customWidth="1" min="6" max="6"/>
  </cols>
  <sheetData>
    <row r="1">
      <c r="A1" s="1" t="inlineStr">
        <is>
          <t>Diagram WBS Shea Daily: 8 paket level 1 dan 29 paket kerja level 2</t>
        </is>
      </c>
    </row>
    <row r="2">
      <c r="A2" s="2" t="inlineStr">
        <is>
          <t>Kotak hijau = paket kerja berstatus Selesai di sheet WBS. Minggu pada kotak fase mengikuti tanggal di sheet WBS.</t>
        </is>
      </c>
    </row>
    <row r="4" ht="21" customHeight="1">
      <c r="A4" s="51" t="inlineStr">
        <is>
          <t>Website E-Commerce Shea Daily</t>
        </is>
      </c>
      <c r="B4" s="52" t="n"/>
      <c r="C4" s="53" t="str">
        <f>"1. Manajemen Proyek"&amp;CHAR(10)&amp;"Sepanjang proyek"</f>
        <v>1. Manajemen Proyek
Sepanjang proyek</v>
      </c>
      <c r="D4" s="54" t="inlineStr">
        <is>
          <t>├─</t>
        </is>
      </c>
      <c r="E4" s="55" t="inlineStr">
        <is>
          <t>1.1  Rapat mingguan tim &amp; klien</t>
        </is>
      </c>
      <c r="F4" s="56" t="str">
        <f>WBS!I6</f>
        <v>Berjalan</v>
      </c>
    </row>
    <row r="5" ht="21" customHeight="1">
      <c r="A5" s="57" t="n"/>
      <c r="B5" s="52" t="inlineStr">
        <is>
          <t>┌─</t>
        </is>
      </c>
      <c r="C5" s="58" t="n"/>
      <c r="D5" s="54" t="inlineStr">
        <is>
          <t>├─</t>
        </is>
      </c>
      <c r="E5" s="55" t="inlineStr">
        <is>
          <t>1.2  Pemantauan jadwal &amp; risiko</t>
        </is>
      </c>
      <c r="F5" s="56" t="str">
        <f>WBS!I7</f>
        <v>Berjalan</v>
      </c>
    </row>
    <row r="6" ht="21" customHeight="1">
      <c r="A6" s="57" t="n"/>
      <c r="B6" s="52" t="inlineStr">
        <is>
          <t>│</t>
        </is>
      </c>
      <c r="C6" s="58" t="n"/>
      <c r="D6" s="54" t="inlineStr">
        <is>
          <t>└─</t>
        </is>
      </c>
      <c r="E6" s="55" t="inlineStr">
        <is>
          <t>1.3  Komunikasi &amp; persetujuan klien</t>
        </is>
      </c>
      <c r="F6" s="56" t="str">
        <f>WBS!I8</f>
        <v>Berjalan</v>
      </c>
    </row>
    <row r="7" ht="8" customHeight="1">
      <c r="A7" s="57" t="n"/>
      <c r="B7" s="52" t="inlineStr">
        <is>
          <t>│</t>
        </is>
      </c>
    </row>
    <row r="8" ht="21" customHeight="1">
      <c r="A8" s="57" t="n"/>
      <c r="B8" s="52" t="inlineStr">
        <is>
          <t>│</t>
        </is>
      </c>
      <c r="C8" s="59" t="str">
        <f>"2. Definisi Proyek"&amp;CHAR(10)&amp;"Minggu "&amp;(INT((WBS!E9-WBS!$E$2)/7)+1)&amp;"-"&amp;(INT((WBS!F9-WBS!$E$2)/7)+1)</f>
        <v>2. Definisi Proyek
Minggu 1-3</v>
      </c>
      <c r="D8" s="54" t="inlineStr">
        <is>
          <t>├─</t>
        </is>
      </c>
      <c r="E8" s="60" t="inlineStr">
        <is>
          <t>2.1  Identifikasi klien &amp; masalah (wawancara)</t>
        </is>
      </c>
      <c r="F8" s="56" t="str">
        <f>WBS!I10</f>
        <v>✓ Selesai</v>
      </c>
    </row>
    <row r="9" ht="21" customHeight="1">
      <c r="A9" s="57" t="n"/>
      <c r="B9" s="52" t="inlineStr">
        <is>
          <t>├─</t>
        </is>
      </c>
      <c r="C9" s="61" t="n"/>
      <c r="D9" s="54" t="inlineStr">
        <is>
          <t>├─</t>
        </is>
      </c>
      <c r="E9" s="60" t="inlineStr">
        <is>
          <t>2.2  Penyusunan Requirement Document</t>
        </is>
      </c>
      <c r="F9" s="56" t="str">
        <f>WBS!I11</f>
        <v>✓ Selesai</v>
      </c>
    </row>
    <row r="10" ht="21" customHeight="1">
      <c r="A10" s="57" t="n"/>
      <c r="B10" s="52" t="inlineStr">
        <is>
          <t>│</t>
        </is>
      </c>
      <c r="C10" s="61" t="n"/>
      <c r="D10" s="54" t="inlineStr">
        <is>
          <t>└─</t>
        </is>
      </c>
      <c r="E10" s="60" t="inlineStr">
        <is>
          <t>2.3  Persetujuan klien atas RD</t>
        </is>
      </c>
      <c r="F10" s="56" t="str">
        <f>WBS!I12</f>
        <v>Terlambat</v>
      </c>
    </row>
    <row r="11" ht="8" customHeight="1">
      <c r="A11" s="57" t="n"/>
      <c r="B11" s="52" t="inlineStr">
        <is>
          <t>│</t>
        </is>
      </c>
    </row>
    <row r="12" ht="21" customHeight="1">
      <c r="A12" s="57" t="n"/>
      <c r="B12" s="52" t="inlineStr">
        <is>
          <t>│</t>
        </is>
      </c>
      <c r="C12" s="62" t="str">
        <f>"3. Perencanaan"&amp;CHAR(10)&amp;"Minggu "&amp;(INT((WBS!E13-WBS!$E$2)/7)+1)&amp;"-"&amp;(INT((WBS!F13-WBS!$E$2)/7)+1)</f>
        <v>3. Perencanaan
Minggu 3-4</v>
      </c>
      <c r="D12" s="54" t="inlineStr">
        <is>
          <t>├─</t>
        </is>
      </c>
      <c r="E12" s="63" t="inlineStr">
        <is>
          <t>3.1  Proses bisnis &amp; gambaran sistem</t>
        </is>
      </c>
      <c r="F12" s="56" t="str">
        <f>WBS!I14</f>
        <v>✓ Selesai</v>
      </c>
    </row>
    <row r="13" ht="21" customHeight="1">
      <c r="A13" s="57" t="n"/>
      <c r="B13" s="52" t="inlineStr">
        <is>
          <t>├─</t>
        </is>
      </c>
      <c r="C13" s="64" t="n"/>
      <c r="D13" s="54" t="inlineStr">
        <is>
          <t>├─</t>
        </is>
      </c>
      <c r="E13" s="63" t="inlineStr">
        <is>
          <t>3.2  Analisis kelayakan</t>
        </is>
      </c>
      <c r="F13" s="56" t="str">
        <f>WBS!I15</f>
        <v>✓ Selesai</v>
      </c>
    </row>
    <row r="14" ht="21" customHeight="1">
      <c r="A14" s="57" t="n"/>
      <c r="B14" s="52" t="inlineStr">
        <is>
          <t>│</t>
        </is>
      </c>
      <c r="C14" s="64" t="n"/>
      <c r="D14" s="54" t="inlineStr">
        <is>
          <t>├─</t>
        </is>
      </c>
      <c r="E14" s="63" t="inlineStr">
        <is>
          <t>3.3  WBS &amp; Gantt Chart</t>
        </is>
      </c>
      <c r="F14" s="56" t="str">
        <f>WBS!I16</f>
        <v>✓ Selesai</v>
      </c>
    </row>
    <row r="15" ht="21" customHeight="1">
      <c r="A15" s="57" t="n"/>
      <c r="B15" s="52" t="inlineStr">
        <is>
          <t>│</t>
        </is>
      </c>
      <c r="C15" s="64" t="n"/>
      <c r="D15" s="54" t="inlineStr">
        <is>
          <t>└─</t>
        </is>
      </c>
      <c r="E15" s="63" t="inlineStr">
        <is>
          <t>3.4  Penyusunan dokumen &amp; presentasi</t>
        </is>
      </c>
      <c r="F15" s="56" t="str">
        <f>WBS!I17</f>
        <v>✓ Selesai</v>
      </c>
    </row>
    <row r="16" ht="8" customHeight="1">
      <c r="A16" s="57" t="n"/>
      <c r="B16" s="52" t="inlineStr">
        <is>
          <t>│</t>
        </is>
      </c>
    </row>
    <row r="17" ht="21" customHeight="1">
      <c r="A17" s="57" t="n"/>
      <c r="B17" s="52" t="inlineStr">
        <is>
          <t>│</t>
        </is>
      </c>
      <c r="C17" s="65" t="str">
        <f>"4. Analisis Kebutuhan"&amp;CHAR(10)&amp;"Minggu "&amp;(INT((WBS!E18-WBS!$E$2)/7)+1)&amp;"-"&amp;(INT((WBS!F18-WBS!$E$2)/7)+1)</f>
        <v>4. Analisis Kebutuhan
Minggu 5-6</v>
      </c>
      <c r="D17" s="54" t="inlineStr">
        <is>
          <t>├─</t>
        </is>
      </c>
      <c r="E17" s="66" t="inlineStr">
        <is>
          <t>4.1  Wawancara &amp; observasi lanjutan</t>
        </is>
      </c>
      <c r="F17" s="56" t="str">
        <f>WBS!I19</f>
        <v>Belum</v>
      </c>
    </row>
    <row r="18" ht="21" customHeight="1">
      <c r="A18" s="57" t="n"/>
      <c r="B18" s="52" t="inlineStr">
        <is>
          <t>├─</t>
        </is>
      </c>
      <c r="C18" s="67" t="n"/>
      <c r="D18" s="54" t="inlineStr">
        <is>
          <t>├─</t>
        </is>
      </c>
      <c r="E18" s="66" t="inlineStr">
        <is>
          <t>4.2  Spesifikasi kebutuhan fungsional &amp; non-fungsional</t>
        </is>
      </c>
      <c r="F18" s="56" t="str">
        <f>WBS!I20</f>
        <v>Belum</v>
      </c>
    </row>
    <row r="19" ht="21" customHeight="1">
      <c r="A19" s="57" t="n"/>
      <c r="B19" s="52" t="inlineStr">
        <is>
          <t>│</t>
        </is>
      </c>
      <c r="C19" s="67" t="n"/>
      <c r="D19" s="54" t="inlineStr">
        <is>
          <t>├─</t>
        </is>
      </c>
      <c r="E19" s="66" t="inlineStr">
        <is>
          <t>4.3  Use case &amp; skenario penggunaan</t>
        </is>
      </c>
      <c r="F19" s="56" t="str">
        <f>WBS!I21</f>
        <v>Belum</v>
      </c>
    </row>
    <row r="20" ht="21" customHeight="1">
      <c r="A20" s="57" t="n"/>
      <c r="B20" s="52" t="inlineStr">
        <is>
          <t>│</t>
        </is>
      </c>
      <c r="C20" s="67" t="n"/>
      <c r="D20" s="54" t="inlineStr">
        <is>
          <t>└─</t>
        </is>
      </c>
      <c r="E20" s="66" t="inlineStr">
        <is>
          <t>4.4  Review SRS &amp; persetujuan klien</t>
        </is>
      </c>
      <c r="F20" s="56" t="str">
        <f>WBS!I22</f>
        <v>Belum</v>
      </c>
    </row>
    <row r="21" ht="8" customHeight="1">
      <c r="A21" s="57" t="n"/>
      <c r="B21" s="52" t="inlineStr">
        <is>
          <t>│</t>
        </is>
      </c>
    </row>
    <row r="22" ht="21" customHeight="1">
      <c r="A22" s="57" t="n"/>
      <c r="B22" s="52" t="inlineStr">
        <is>
          <t>│</t>
        </is>
      </c>
      <c r="C22" s="68" t="str">
        <f>"5. Desain Sistem"&amp;CHAR(10)&amp;"Minggu "&amp;(INT((WBS!E23-WBS!$E$2)/7)+1)&amp;"-"&amp;(INT((WBS!F23-WBS!$E$2)/7)+1)</f>
        <v>5. Desain Sistem
Minggu 7-8</v>
      </c>
      <c r="D22" s="54" t="inlineStr">
        <is>
          <t>├─</t>
        </is>
      </c>
      <c r="E22" s="69" t="inlineStr">
        <is>
          <t>5.1  Perancangan arsitektur &amp; basis data (ERD)</t>
        </is>
      </c>
      <c r="F22" s="56" t="str">
        <f>WBS!I24</f>
        <v>Belum</v>
      </c>
    </row>
    <row r="23" ht="21" customHeight="1">
      <c r="A23" s="57" t="n"/>
      <c r="B23" s="52" t="inlineStr">
        <is>
          <t>├─</t>
        </is>
      </c>
      <c r="C23" s="70" t="n"/>
      <c r="D23" s="54" t="inlineStr">
        <is>
          <t>├─</t>
        </is>
      </c>
      <c r="E23" s="69" t="inlineStr">
        <is>
          <t>5.2  Wireframe &amp; prototipe UI</t>
        </is>
      </c>
      <c r="F23" s="56" t="str">
        <f>WBS!I25</f>
        <v>Belum</v>
      </c>
    </row>
    <row r="24" ht="21" customHeight="1">
      <c r="A24" s="57" t="n"/>
      <c r="B24" s="52" t="inlineStr">
        <is>
          <t>│</t>
        </is>
      </c>
      <c r="C24" s="70" t="n"/>
      <c r="D24" s="54" t="inlineStr">
        <is>
          <t>├─</t>
        </is>
      </c>
      <c r="E24" s="69" t="inlineStr">
        <is>
          <t>5.3  Spesifikasi integrasi RajaOngkir &amp; Midtrans</t>
        </is>
      </c>
      <c r="F24" s="56" t="str">
        <f>WBS!I26</f>
        <v>Belum</v>
      </c>
    </row>
    <row r="25" ht="21" customHeight="1">
      <c r="A25" s="57" t="n"/>
      <c r="B25" s="52" t="inlineStr">
        <is>
          <t>│</t>
        </is>
      </c>
      <c r="C25" s="70" t="n"/>
      <c r="D25" s="54" t="inlineStr">
        <is>
          <t>└─</t>
        </is>
      </c>
      <c r="E25" s="69" t="inlineStr">
        <is>
          <t>5.4  Persetujuan prototipe klien &amp; SDD</t>
        </is>
      </c>
      <c r="F25" s="56" t="str">
        <f>WBS!I27</f>
        <v>Belum</v>
      </c>
    </row>
    <row r="26" ht="8" customHeight="1">
      <c r="A26" s="57" t="n"/>
      <c r="B26" s="52" t="inlineStr">
        <is>
          <t>│</t>
        </is>
      </c>
    </row>
    <row r="27" ht="21" customHeight="1">
      <c r="A27" s="57" t="n"/>
      <c r="B27" s="52" t="inlineStr">
        <is>
          <t>│</t>
        </is>
      </c>
      <c r="C27" s="71" t="str">
        <f>"6. Pemrograman"&amp;CHAR(10)&amp;"Minggu "&amp;(INT((WBS!E28-WBS!$E$2)/7)+1)&amp;"-"&amp;(INT((WBS!F28-WBS!$E$2)/7)+1)</f>
        <v>6. Pemrograman
Minggu 9-12</v>
      </c>
      <c r="D27" s="54" t="inlineStr">
        <is>
          <t>├─</t>
        </is>
      </c>
      <c r="E27" s="72" t="inlineStr">
        <is>
          <t>6.1  Modul 1: autentikasi, produk &amp; katalog</t>
        </is>
      </c>
      <c r="F27" s="56" t="str">
        <f>WBS!I29</f>
        <v>Belum</v>
      </c>
    </row>
    <row r="28" ht="21" customHeight="1">
      <c r="A28" s="57" t="n"/>
      <c r="B28" s="52" t="inlineStr">
        <is>
          <t>├─</t>
        </is>
      </c>
      <c r="C28" s="73" t="n"/>
      <c r="D28" s="54" t="inlineStr">
        <is>
          <t>├─</t>
        </is>
      </c>
      <c r="E28" s="72" t="inlineStr">
        <is>
          <t>6.2  Modul 2: keranjang, checkout, ongkir, pembayaran</t>
        </is>
      </c>
      <c r="F28" s="56" t="str">
        <f>WBS!I30</f>
        <v>Belum</v>
      </c>
    </row>
    <row r="29" ht="21" customHeight="1">
      <c r="A29" s="57" t="n"/>
      <c r="B29" s="52" t="inlineStr">
        <is>
          <t>│</t>
        </is>
      </c>
      <c r="C29" s="73" t="n"/>
      <c r="D29" s="54" t="inlineStr">
        <is>
          <t>├─</t>
        </is>
      </c>
      <c r="E29" s="72" t="inlineStr">
        <is>
          <t>6.3  Modul 3: admin (produk, stok, pesanan), ulasan, halaman info</t>
        </is>
      </c>
      <c r="F29" s="56" t="str">
        <f>WBS!I31</f>
        <v>Belum</v>
      </c>
    </row>
    <row r="30" ht="21" customHeight="1">
      <c r="A30" s="57" t="n"/>
      <c r="B30" s="52" t="inlineStr">
        <is>
          <t>│</t>
        </is>
      </c>
      <c r="C30" s="73" t="n"/>
      <c r="D30" s="54" t="inlineStr">
        <is>
          <t>└─</t>
        </is>
      </c>
      <c r="E30" s="72" t="inlineStr">
        <is>
          <t>6.4  Dokumen implementasi</t>
        </is>
      </c>
      <c r="F30" s="56" t="str">
        <f>WBS!I32</f>
        <v>Belum</v>
      </c>
    </row>
    <row r="31" ht="8" customHeight="1">
      <c r="A31" s="57" t="n"/>
      <c r="B31" s="52" t="inlineStr">
        <is>
          <t>│</t>
        </is>
      </c>
    </row>
    <row r="32" ht="21" customHeight="1">
      <c r="A32" s="57" t="n"/>
      <c r="B32" s="52" t="inlineStr">
        <is>
          <t>│</t>
        </is>
      </c>
      <c r="C32" s="74" t="str">
        <f>"7. Pengujian"&amp;CHAR(10)&amp;"Minggu "&amp;(INT((WBS!E33-WBS!$E$2)/7)+1)&amp;"-"&amp;(INT((WBS!F33-WBS!$E$2)/7)+1)</f>
        <v>7. Pengujian
Minggu 13-13</v>
      </c>
      <c r="D32" s="54" t="inlineStr">
        <is>
          <t>├─</t>
        </is>
      </c>
      <c r="E32" s="75" t="inlineStr">
        <is>
          <t>7.1  Pengujian modul &amp; integrasi</t>
        </is>
      </c>
      <c r="F32" s="56" t="str">
        <f>WBS!I34</f>
        <v>Belum</v>
      </c>
    </row>
    <row r="33" ht="21" customHeight="1">
      <c r="A33" s="57" t="n"/>
      <c r="B33" s="52" t="inlineStr">
        <is>
          <t>├─</t>
        </is>
      </c>
      <c r="C33" s="76" t="n"/>
      <c r="D33" s="54" t="inlineStr">
        <is>
          <t>├─</t>
        </is>
      </c>
      <c r="E33" s="75" t="inlineStr">
        <is>
          <t>7.2  UAT bersama klien</t>
        </is>
      </c>
      <c r="F33" s="56" t="str">
        <f>WBS!I35</f>
        <v>Belum</v>
      </c>
    </row>
    <row r="34" ht="21" customHeight="1">
      <c r="A34" s="57" t="n"/>
      <c r="B34" s="52" t="inlineStr">
        <is>
          <t>│</t>
        </is>
      </c>
      <c r="C34" s="76" t="n"/>
      <c r="D34" s="54" t="inlineStr">
        <is>
          <t>└─</t>
        </is>
      </c>
      <c r="E34" s="75" t="inlineStr">
        <is>
          <t>7.3  Perbaikan bug</t>
        </is>
      </c>
      <c r="F34" s="56" t="str">
        <f>WBS!I36</f>
        <v>Belum</v>
      </c>
    </row>
    <row r="35" ht="8" customHeight="1">
      <c r="A35" s="57" t="n"/>
      <c r="B35" s="52" t="inlineStr">
        <is>
          <t>│</t>
        </is>
      </c>
    </row>
    <row r="36" ht="21" customHeight="1">
      <c r="A36" s="57" t="n"/>
      <c r="B36" s="52" t="inlineStr">
        <is>
          <t>│</t>
        </is>
      </c>
      <c r="C36" s="77" t="str">
        <f>"8. Penerapan"&amp;CHAR(10)&amp;"Minggu "&amp;(INT((WBS!E37-WBS!$E$2)/7)+1)&amp;"-"&amp;(INT((WBS!F37-WBS!$E$2)/7)+1)</f>
        <v>8. Penerapan
Minggu 14-15</v>
      </c>
      <c r="D36" s="54" t="inlineStr">
        <is>
          <t>├─</t>
        </is>
      </c>
      <c r="E36" s="78" t="inlineStr">
        <is>
          <t>8.1  Deploy final &amp; konfigurasi domain/hosting</t>
        </is>
      </c>
      <c r="F36" s="56" t="str">
        <f>WBS!I38</f>
        <v>Belum</v>
      </c>
    </row>
    <row r="37" ht="21" customHeight="1">
      <c r="A37" s="57" t="n"/>
      <c r="B37" s="52" t="inlineStr">
        <is>
          <t>└─</t>
        </is>
      </c>
      <c r="C37" s="79" t="n"/>
      <c r="D37" s="54" t="inlineStr">
        <is>
          <t>├─</t>
        </is>
      </c>
      <c r="E37" s="78" t="inlineStr">
        <is>
          <t>8.2  Penyusunan user manual</t>
        </is>
      </c>
      <c r="F37" s="56" t="str">
        <f>WBS!I39</f>
        <v>Belum</v>
      </c>
    </row>
    <row r="38" ht="21" customHeight="1">
      <c r="A38" s="57" t="n"/>
      <c r="B38" s="52" t="n"/>
      <c r="C38" s="79" t="n"/>
      <c r="D38" s="54" t="inlineStr">
        <is>
          <t>├─</t>
        </is>
      </c>
      <c r="E38" s="78" t="inlineStr">
        <is>
          <t>8.3  Pelatihan pengguna</t>
        </is>
      </c>
      <c r="F38" s="56" t="str">
        <f>WBS!I40</f>
        <v>Belum</v>
      </c>
    </row>
    <row r="39" ht="21" customHeight="1">
      <c r="A39" s="80" t="n"/>
      <c r="B39" s="52" t="n"/>
      <c r="C39" s="79" t="n"/>
      <c r="D39" s="54" t="inlineStr">
        <is>
          <t>└─</t>
        </is>
      </c>
      <c r="E39" s="78" t="inlineStr">
        <is>
          <t>8.4  BAST &amp; laporan akhir</t>
        </is>
      </c>
      <c r="F39" s="56" t="str">
        <f>WBS!I41</f>
        <v>Belum</v>
      </c>
    </row>
    <row r="40" ht="8" customHeight="1"/>
  </sheetData>
  <mergeCells count="9">
    <mergeCell ref="C22:C25"/>
    <mergeCell ref="C17:C20"/>
    <mergeCell ref="A4:A39"/>
    <mergeCell ref="C12:C15"/>
    <mergeCell ref="C36:C39"/>
    <mergeCell ref="C8:C10"/>
    <mergeCell ref="C32:C34"/>
    <mergeCell ref="C27:C30"/>
    <mergeCell ref="C4:C6"/>
  </mergeCells>
  <conditionalFormatting sqref="E4:F39">
    <cfRule type="expression" priority="1" dxfId="6">
      <formula>$F4="✓ Selesai"</formula>
    </cfRule>
    <cfRule type="expression" priority="2" dxfId="11">
      <formula>$F4="Berjalan"</formula>
    </cfRule>
    <cfRule type="expression" priority="3" dxfId="12">
      <formula>$F4="Terlambat"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14" customWidth="1" min="4" max="4"/>
    <col width="30" customWidth="1" min="5" max="5"/>
    <col width="13" customWidth="1" min="6" max="6"/>
    <col width="14" customWidth="1" min="7" max="7"/>
  </cols>
  <sheetData>
    <row r="1">
      <c r="A1" s="1" t="inlineStr">
        <is>
          <t>Milestone Proyek Shea Daily</t>
        </is>
      </c>
    </row>
    <row r="2">
      <c r="A2" s="2" t="inlineStr">
        <is>
          <t>Status otomatis mengikuti status paket kerja terkait di sheet WBS (kolom Paket terkait).</t>
        </is>
      </c>
    </row>
    <row r="3">
      <c r="A3" s="16" t="inlineStr">
        <is>
          <t>Kode</t>
        </is>
      </c>
      <c r="B3" s="16" t="inlineStr">
        <is>
          <t>Milestone</t>
        </is>
      </c>
      <c r="C3" s="16" t="inlineStr">
        <is>
          <t>Minggu</t>
        </is>
      </c>
      <c r="D3" s="16" t="inlineStr">
        <is>
          <t>Awal minggu</t>
        </is>
      </c>
      <c r="E3" s="16" t="inlineStr">
        <is>
          <t>Bukti tercapai</t>
        </is>
      </c>
      <c r="F3" s="16" t="inlineStr">
        <is>
          <t>Paket terkait</t>
        </is>
      </c>
      <c r="G3" s="16" t="inlineStr">
        <is>
          <t>Status</t>
        </is>
      </c>
    </row>
    <row r="4">
      <c r="A4" s="20" t="inlineStr">
        <is>
          <t>M1</t>
        </is>
      </c>
      <c r="B4" s="42" t="inlineStr">
        <is>
          <t>Requirement Document disetujui klien</t>
        </is>
      </c>
      <c r="C4" s="20" t="n">
        <v>3</v>
      </c>
      <c r="D4" s="81">
        <f>WBS!$E$2+7*(C4-1)</f>
        <v>46307.0</v>
      </c>
      <c r="E4" s="42" t="inlineStr">
        <is>
          <t>Lembar persetujuan klien</t>
        </is>
      </c>
      <c r="F4" s="20" t="inlineStr">
        <is>
          <t>2.3</t>
        </is>
      </c>
      <c r="G4" s="20" t="str">
        <f>IF(WBS!I12="✓ Selesai","✓ Tercapai",IF(WBS!I12="Terlambat","Terlambat",IF(WBS!I12="Berjalan","Berjalan","Belum")))</f>
        <v>Terlambat</v>
      </c>
    </row>
    <row r="5">
      <c r="A5" s="20" t="inlineStr">
        <is>
          <t>M2</t>
        </is>
      </c>
      <c r="B5" s="42" t="inlineStr">
        <is>
          <t>Rencana proyek (WBS &amp; Gantt) selesai</t>
        </is>
      </c>
      <c r="C5" s="20" t="n">
        <v>4</v>
      </c>
      <c r="D5" s="81">
        <f>WBS!$E$2+7*(C5-1)</f>
        <v>46314.0</v>
      </c>
      <c r="E5" s="42" t="inlineStr">
        <is>
          <t>Dokumen 01 Bagian II</t>
        </is>
      </c>
      <c r="F5" s="20" t="inlineStr">
        <is>
          <t>3</t>
        </is>
      </c>
      <c r="G5" s="20" t="str">
        <f>IF(WBS!I13="✓ Selesai","✓ Tercapai",IF(WBS!I13="Terlambat","Terlambat",IF(WBS!I13="Berjalan","Berjalan","Belum")))</f>
        <v>✓ Tercapai</v>
      </c>
    </row>
    <row r="6">
      <c r="A6" s="20" t="inlineStr">
        <is>
          <t>M3</t>
        </is>
      </c>
      <c r="B6" s="42" t="inlineStr">
        <is>
          <t>SRS selesai</t>
        </is>
      </c>
      <c r="C6" s="20" t="n">
        <v>6</v>
      </c>
      <c r="D6" s="81">
        <f>WBS!$E$2+7*(C6-1)</f>
        <v>46328.0</v>
      </c>
      <c r="E6" s="42" t="inlineStr">
        <is>
          <t>Dokumen SRS</t>
        </is>
      </c>
      <c r="F6" s="20" t="inlineStr">
        <is>
          <t>4.4</t>
        </is>
      </c>
      <c r="G6" s="20" t="str">
        <f>IF(WBS!I22="✓ Selesai","✓ Tercapai",IF(WBS!I22="Terlambat","Terlambat",IF(WBS!I22="Berjalan","Berjalan","Belum")))</f>
        <v>Belum</v>
      </c>
    </row>
    <row r="7">
      <c r="A7" s="20" t="inlineStr">
        <is>
          <t>M4</t>
        </is>
      </c>
      <c r="B7" s="42" t="inlineStr">
        <is>
          <t>SDD selesai</t>
        </is>
      </c>
      <c r="C7" s="20" t="n">
        <v>8</v>
      </c>
      <c r="D7" s="81">
        <f>WBS!$E$2+7*(C7-1)</f>
        <v>46342.0</v>
      </c>
      <c r="E7" s="42" t="inlineStr">
        <is>
          <t>Dokumen SDD</t>
        </is>
      </c>
      <c r="F7" s="20" t="inlineStr">
        <is>
          <t>5.4</t>
        </is>
      </c>
      <c r="G7" s="20" t="str">
        <f>IF(WBS!I27="✓ Selesai","✓ Tercapai",IF(WBS!I27="Terlambat","Terlambat",IF(WBS!I27="Berjalan","Berjalan","Belum")))</f>
        <v>Belum</v>
      </c>
    </row>
    <row r="8">
      <c r="A8" s="20" t="inlineStr">
        <is>
          <t>M5</t>
        </is>
      </c>
      <c r="B8" s="42" t="inlineStr">
        <is>
          <t>Demo Modul 1</t>
        </is>
      </c>
      <c r="C8" s="20" t="n">
        <v>9</v>
      </c>
      <c r="D8" s="81">
        <f>WBS!$E$2+7*(C8-1)</f>
        <v>46349.0</v>
      </c>
      <c r="E8" s="42" t="inlineStr">
        <is>
          <t>Demo di kelas</t>
        </is>
      </c>
      <c r="F8" s="20" t="inlineStr">
        <is>
          <t>6.1</t>
        </is>
      </c>
      <c r="G8" s="20" t="str">
        <f>IF(WBS!I29="✓ Selesai","✓ Tercapai",IF(WBS!I29="Terlambat","Terlambat",IF(WBS!I29="Berjalan","Berjalan","Belum")))</f>
        <v>Belum</v>
      </c>
    </row>
    <row r="9">
      <c r="A9" s="20" t="inlineStr">
        <is>
          <t>M6</t>
        </is>
      </c>
      <c r="B9" s="42" t="inlineStr">
        <is>
          <t>Demo Modul 2</t>
        </is>
      </c>
      <c r="C9" s="20" t="n">
        <v>10</v>
      </c>
      <c r="D9" s="81">
        <f>WBS!$E$2+7*(C9-1)</f>
        <v>46356.0</v>
      </c>
      <c r="E9" s="42" t="inlineStr">
        <is>
          <t>Demo di kelas</t>
        </is>
      </c>
      <c r="F9" s="20" t="inlineStr">
        <is>
          <t>6.2</t>
        </is>
      </c>
      <c r="G9" s="20" t="str">
        <f>IF(WBS!I30="✓ Selesai","✓ Tercapai",IF(WBS!I30="Terlambat","Terlambat",IF(WBS!I30="Berjalan","Berjalan","Belum")))</f>
        <v>Belum</v>
      </c>
    </row>
    <row r="10">
      <c r="A10" s="20" t="inlineStr">
        <is>
          <t>M7</t>
        </is>
      </c>
      <c r="B10" s="42" t="inlineStr">
        <is>
          <t>Demo Modul 3: semua fitur lengkap</t>
        </is>
      </c>
      <c r="C10" s="20" t="n">
        <v>12</v>
      </c>
      <c r="D10" s="81">
        <f>WBS!$E$2+7*(C10-1)</f>
        <v>46370.0</v>
      </c>
      <c r="E10" s="42" t="inlineStr">
        <is>
          <t>Aplikasi + dok. implementasi</t>
        </is>
      </c>
      <c r="F10" s="20" t="inlineStr">
        <is>
          <t>6.3</t>
        </is>
      </c>
      <c r="G10" s="20" t="str">
        <f>IF(WBS!I31="✓ Selesai","✓ Tercapai",IF(WBS!I31="Terlambat","Terlambat",IF(WBS!I31="Berjalan","Berjalan","Belum")))</f>
        <v>Belum</v>
      </c>
    </row>
    <row r="11">
      <c r="A11" s="20" t="inlineStr">
        <is>
          <t>M8</t>
        </is>
      </c>
      <c r="B11" s="42" t="inlineStr">
        <is>
          <t>UAT diterima klien</t>
        </is>
      </c>
      <c r="C11" s="20" t="n">
        <v>13</v>
      </c>
      <c r="D11" s="81">
        <f>WBS!$E$2+7*(C11-1)</f>
        <v>46377.0</v>
      </c>
      <c r="E11" s="42" t="inlineStr">
        <is>
          <t>Hasil UAT</t>
        </is>
      </c>
      <c r="F11" s="20" t="inlineStr">
        <is>
          <t>7.2</t>
        </is>
      </c>
      <c r="G11" s="20" t="str">
        <f>IF(WBS!I35="✓ Selesai","✓ Tercapai",IF(WBS!I35="Terlambat","Terlambat",IF(WBS!I35="Berjalan","Berjalan","Belum")))</f>
        <v>Belum</v>
      </c>
    </row>
    <row r="12">
      <c r="A12" s="20" t="inlineStr">
        <is>
          <t>M9</t>
        </is>
      </c>
      <c r="B12" s="42" t="inlineStr">
        <is>
          <t>Pelatihan &amp; BAST</t>
        </is>
      </c>
      <c r="C12" s="20" t="n">
        <v>15</v>
      </c>
      <c r="D12" s="81">
        <f>WBS!$E$2+7*(C12-1)</f>
        <v>46391.0</v>
      </c>
      <c r="E12" s="42" t="inlineStr">
        <is>
          <t>BAST bertanda tangan</t>
        </is>
      </c>
      <c r="F12" s="20" t="inlineStr">
        <is>
          <t>8.4</t>
        </is>
      </c>
      <c r="G12" s="20" t="str">
        <f>IF(WBS!I41="✓ Selesai","✓ Tercapai",IF(WBS!I41="Terlambat","Terlambat",IF(WBS!I41="Berjalan","Berjalan","Belum")))</f>
        <v>Belum</v>
      </c>
    </row>
  </sheetData>
  <conditionalFormatting sqref="G4:G12">
    <cfRule type="expression" priority="1" dxfId="6">
      <formula>$G4="✓ Tercapai"</formula>
    </cfRule>
    <cfRule type="expression" priority="2" dxfId="8">
      <formula>$G4="Terlambat"</formula>
    </cfRule>
    <cfRule type="expression" priority="3" dxfId="7">
      <formula>$G4="Berjalan"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2026-10-18T21:50:00Z</dcterms:created>
  <dcterms:modified xmlns:dcterms="http://purl.org/dc/terms/" xmlns:xsi="http://www.w3.org/2001/XMLSchema-instance" xsi:type="dcterms:W3CDTF">2026-10-18T21:50:00Z</dcterms:modified>
</cp:coreProperties>
</file>